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PLD_Actividades_Vulnerables\Documentacion\"/>
    </mc:Choice>
  </mc:AlternateContent>
  <xr:revisionPtr revIDLastSave="0" documentId="13_ncr:1_{E5B3A748-46A8-47E4-B156-5BD25D46BF9D}" xr6:coauthVersionLast="47" xr6:coauthVersionMax="47" xr10:uidLastSave="{00000000-0000-0000-0000-000000000000}"/>
  <bookViews>
    <workbookView xWindow="-30" yWindow="0" windowWidth="23865" windowHeight="20985" tabRatio="535" activeTab="1" xr2:uid="{0C0725AD-2E82-40C1-B6C9-5D5F4A0E6FA8}"/>
  </bookViews>
  <sheets>
    <sheet name="Generales" sheetId="2" r:id="rId1"/>
    <sheet name="Cronograma" sheetId="1" r:id="rId2"/>
  </sheets>
  <definedNames>
    <definedName name="_xlnm._FilterDatabase" localSheetId="1" hidden="1">Cronograma!$C$1:$J$107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3" i="1" s="1"/>
  <c r="J3" i="1" s="1"/>
  <c r="I4" i="1" s="1"/>
  <c r="J4" i="1" s="1"/>
  <c r="I5" i="1" s="1"/>
  <c r="J5" i="1" s="1"/>
  <c r="I6" i="1" s="1"/>
  <c r="J6" i="1" s="1"/>
  <c r="I7" i="1" s="1"/>
  <c r="J7" i="1" s="1"/>
  <c r="I8" i="1" s="1"/>
  <c r="J8" i="1" s="1"/>
  <c r="I9" i="1" s="1"/>
  <c r="J9" i="1" s="1"/>
  <c r="H106" i="1"/>
  <c r="H107" i="1" s="1"/>
  <c r="I10" i="1" l="1"/>
  <c r="J10" i="1" l="1"/>
  <c r="I11" i="1" s="1"/>
  <c r="J11" i="1" l="1"/>
  <c r="I12" i="1" s="1"/>
  <c r="J12" i="1" l="1"/>
  <c r="I13" i="1" s="1"/>
  <c r="J13" i="1" l="1"/>
  <c r="I14" i="1" s="1"/>
  <c r="J14" i="1" s="1"/>
  <c r="I15" i="1" s="1"/>
  <c r="J15" i="1" s="1"/>
  <c r="I16" i="1" s="1"/>
  <c r="J16" i="1" s="1"/>
  <c r="I17" i="1" s="1"/>
  <c r="J17" i="1" s="1"/>
  <c r="I18" i="1" s="1"/>
  <c r="J18" i="1" s="1"/>
  <c r="I19" i="1" l="1"/>
  <c r="J19" i="1" s="1"/>
  <c r="I20" i="1" l="1"/>
  <c r="J20" i="1" s="1"/>
  <c r="I21" i="1" l="1"/>
  <c r="J21" i="1" s="1"/>
  <c r="I22" i="1" l="1"/>
  <c r="J22" i="1" s="1"/>
  <c r="I23" i="1" l="1"/>
  <c r="J23" i="1" s="1"/>
  <c r="I24" i="1" l="1"/>
  <c r="J24" i="1" s="1"/>
  <c r="I25" i="1" l="1"/>
  <c r="J25" i="1" s="1"/>
  <c r="I26" i="1" l="1"/>
  <c r="J26" i="1" s="1"/>
  <c r="I27" i="1" l="1"/>
  <c r="J27" i="1" s="1"/>
  <c r="I28" i="1" l="1"/>
  <c r="J28" i="1" s="1"/>
  <c r="I29" i="1" l="1"/>
  <c r="J29" i="1" s="1"/>
  <c r="I30" i="1" l="1"/>
  <c r="J30" i="1" s="1"/>
  <c r="I31" i="1" l="1"/>
  <c r="J31" i="1" s="1"/>
  <c r="I32" i="1" l="1"/>
  <c r="J32" i="1" s="1"/>
  <c r="I33" i="1" l="1"/>
  <c r="J33" i="1" l="1"/>
  <c r="I34" i="1" s="1"/>
  <c r="J34" i="1" s="1"/>
  <c r="I35" i="1" s="1"/>
  <c r="J35" i="1" s="1"/>
  <c r="I36" i="1" l="1"/>
  <c r="J36" i="1" l="1"/>
  <c r="I37" i="1" s="1"/>
  <c r="J37" i="1" s="1"/>
  <c r="I38" i="1" s="1"/>
  <c r="J38" i="1" s="1"/>
  <c r="I39" i="1" l="1"/>
  <c r="J39" i="1" s="1"/>
  <c r="I40" i="1" l="1"/>
  <c r="J40" i="1" s="1"/>
  <c r="I41" i="1" l="1"/>
  <c r="J41" i="1" s="1"/>
  <c r="I42" i="1" l="1"/>
  <c r="J42" i="1" s="1"/>
  <c r="I43" i="1" s="1"/>
  <c r="J43" i="1" s="1"/>
  <c r="I44" i="1" l="1"/>
  <c r="J44" i="1" s="1"/>
  <c r="I45" i="1" l="1"/>
  <c r="J45" i="1" s="1"/>
  <c r="I46" i="1" l="1"/>
  <c r="J46" i="1" s="1"/>
  <c r="I47" i="1" l="1"/>
  <c r="J47" i="1" s="1"/>
  <c r="I48" i="1" l="1"/>
  <c r="J48" i="1" l="1"/>
  <c r="I49" i="1" s="1"/>
  <c r="J49" i="1" s="1"/>
  <c r="I50" i="1" s="1"/>
  <c r="J50" i="1" s="1"/>
  <c r="I67" i="1" l="1"/>
  <c r="I51" i="1"/>
  <c r="J51" i="1" s="1"/>
  <c r="I52" i="1" s="1"/>
  <c r="J52" i="1" s="1"/>
  <c r="I53" i="1" l="1"/>
  <c r="J53" i="1" s="1"/>
  <c r="I54" i="1" l="1"/>
  <c r="J54" i="1" s="1"/>
  <c r="I55" i="1" l="1"/>
  <c r="J55" i="1" s="1"/>
  <c r="I56" i="1" l="1"/>
  <c r="J56" i="1" s="1"/>
  <c r="I57" i="1" l="1"/>
  <c r="J57" i="1" s="1"/>
  <c r="I58" i="1" l="1"/>
  <c r="J58" i="1" s="1"/>
  <c r="I59" i="1" l="1"/>
  <c r="J59" i="1" s="1"/>
  <c r="I60" i="1" l="1"/>
  <c r="J60" i="1" s="1"/>
  <c r="I61" i="1" l="1"/>
  <c r="J61" i="1" s="1"/>
  <c r="I62" i="1" l="1"/>
  <c r="J62" i="1" s="1"/>
  <c r="I63" i="1" l="1"/>
  <c r="J63" i="1" s="1"/>
  <c r="I64" i="1" l="1"/>
  <c r="J64" i="1" s="1"/>
  <c r="I65" i="1" l="1"/>
  <c r="J65" i="1" s="1"/>
  <c r="I66" i="1" l="1"/>
  <c r="J66" i="1" l="1"/>
  <c r="J67" i="1" s="1"/>
  <c r="I68" i="1" s="1"/>
  <c r="J68" i="1" s="1"/>
  <c r="I69" i="1" s="1"/>
  <c r="J69" i="1" s="1"/>
  <c r="I70" i="1" l="1"/>
  <c r="J70" i="1" s="1"/>
  <c r="I71" i="1" l="1"/>
  <c r="J71" i="1" s="1"/>
  <c r="I72" i="1" l="1"/>
  <c r="J72" i="1" s="1"/>
  <c r="I73" i="1" l="1"/>
  <c r="J73" i="1" s="1"/>
  <c r="I74" i="1" l="1"/>
  <c r="J74" i="1" s="1"/>
  <c r="I75" i="1" l="1"/>
  <c r="J75" i="1" s="1"/>
  <c r="I76" i="1" l="1"/>
  <c r="J76" i="1" s="1"/>
  <c r="I77" i="1" l="1"/>
  <c r="J77" i="1" s="1"/>
  <c r="I78" i="1" l="1"/>
  <c r="J78" i="1" s="1"/>
  <c r="I79" i="1" l="1"/>
  <c r="J79" i="1" s="1"/>
  <c r="I80" i="1" l="1"/>
  <c r="J80" i="1" s="1"/>
  <c r="I81" i="1" l="1"/>
  <c r="J81" i="1" s="1"/>
  <c r="I82" i="1" l="1"/>
  <c r="J82" i="1" s="1"/>
  <c r="I95" i="1" l="1"/>
  <c r="J95" i="1" s="1"/>
  <c r="I96" i="1" s="1"/>
  <c r="J96" i="1" s="1"/>
  <c r="I97" i="1" s="1"/>
  <c r="J97" i="1" s="1"/>
  <c r="I83" i="1"/>
  <c r="J83" i="1" s="1"/>
  <c r="I84" i="1" s="1"/>
  <c r="J84" i="1" s="1"/>
  <c r="I85" i="1" s="1"/>
  <c r="J85" i="1" s="1"/>
  <c r="I86" i="1" s="1"/>
  <c r="J86" i="1" s="1"/>
  <c r="I87" i="1" l="1"/>
  <c r="J87" i="1" s="1"/>
  <c r="I88" i="1" l="1"/>
  <c r="J88" i="1" s="1"/>
  <c r="I89" i="1" l="1"/>
  <c r="J89" i="1" s="1"/>
  <c r="I90" i="1" l="1"/>
  <c r="J90" i="1" s="1"/>
  <c r="I91" i="1" l="1"/>
  <c r="J91" i="1" s="1"/>
  <c r="I92" i="1" l="1"/>
  <c r="J92" i="1" s="1"/>
  <c r="I93" i="1" l="1"/>
  <c r="J93" i="1" s="1"/>
  <c r="I94" i="1" l="1"/>
  <c r="J94" i="1" s="1"/>
  <c r="I98" i="1" l="1"/>
  <c r="J98" i="1" s="1"/>
  <c r="I99" i="1" l="1"/>
  <c r="J99" i="1" s="1"/>
  <c r="I100" i="1" l="1"/>
  <c r="J100" i="1" s="1"/>
  <c r="I101" i="1" l="1"/>
  <c r="J101" i="1" s="1"/>
  <c r="I102" i="1" l="1"/>
  <c r="J102" i="1" s="1"/>
  <c r="I103" i="1" l="1"/>
  <c r="J103" i="1" s="1"/>
  <c r="I104" i="1" l="1"/>
  <c r="J104" i="1" s="1"/>
  <c r="I105" i="1" l="1"/>
  <c r="J105" i="1" s="1"/>
</calcChain>
</file>

<file path=xl/sharedStrings.xml><?xml version="1.0" encoding="utf-8"?>
<sst xmlns="http://schemas.openxmlformats.org/spreadsheetml/2006/main" count="581" uniqueCount="168">
  <si>
    <t xml:space="preserve"> Actividad</t>
  </si>
  <si>
    <t xml:space="preserve"> Entregable</t>
  </si>
  <si>
    <t xml:space="preserve"> Análisis regulatorio LFPIORPI/RCG</t>
  </si>
  <si>
    <t xml:space="preserve"> Documento de requisitos regulatorios</t>
  </si>
  <si>
    <t xml:space="preserve"> Documento de alcance</t>
  </si>
  <si>
    <t xml:space="preserve"> Identificación de actividades vulnerables</t>
  </si>
  <si>
    <t xml:space="preserve"> Matriz de fracciones Art.17</t>
  </si>
  <si>
    <t xml:space="preserve"> Arquitectura de alto nivel</t>
  </si>
  <si>
    <t xml:space="preserve"> Diagrama y especificación técnica</t>
  </si>
  <si>
    <t xml:space="preserve"> Plan del proyecto y roadmap</t>
  </si>
  <si>
    <t xml:space="preserve"> Documento planificado</t>
  </si>
  <si>
    <t xml:space="preserve"> Wireframes</t>
  </si>
  <si>
    <t xml:space="preserve"> Endpoints</t>
  </si>
  <si>
    <t xml:space="preserve"> Motor acumulación 6 meses</t>
  </si>
  <si>
    <t xml:space="preserve"> Reglas de umbral</t>
  </si>
  <si>
    <t>Identificar Beneficiarios Controladores y mantener expedientes</t>
  </si>
  <si>
    <t>Calcular acumulaciones (ventana móvil 6 meses) y detectar umbrales por fracción del Art.17 LFPIORPI</t>
  </si>
  <si>
    <t>Ejecutar matriz de riesgo (KYC normal/reforzado/simplificado)</t>
  </si>
  <si>
    <t>Registrar y gestionar Usuarios en la plataforma</t>
  </si>
  <si>
    <t>Registrar y gestionar Empresas (de actividades vulnerables)</t>
  </si>
  <si>
    <t>Registrar y gestionar Clientes (KYC) conforme a Anexos 3–8 de las RCG</t>
  </si>
  <si>
    <t>Generar alertas</t>
  </si>
  <si>
    <t>Producir avisos oficiales (formato UIF/SAT)</t>
  </si>
  <si>
    <t>Registrar y gestionar Operaciones</t>
  </si>
  <si>
    <t>Generar Consultas de monitoreo</t>
  </si>
  <si>
    <t>Metodología y estructura iterativa</t>
  </si>
  <si>
    <t>Objetivos Generales del proyecto</t>
  </si>
  <si>
    <t>#</t>
  </si>
  <si>
    <t>Objetivo</t>
  </si>
  <si>
    <t>Roadmap</t>
  </si>
  <si>
    <t>Iteración</t>
  </si>
  <si>
    <t>Requisitos</t>
  </si>
  <si>
    <t xml:space="preserve"> Diseño</t>
  </si>
  <si>
    <t xml:space="preserve"> Implementación</t>
  </si>
  <si>
    <t xml:space="preserve"> Pruebas</t>
  </si>
  <si>
    <t xml:space="preserve"> Entrega</t>
  </si>
  <si>
    <t>Duración del Sprint</t>
  </si>
  <si>
    <t>2 semanas</t>
  </si>
  <si>
    <t>Duración de la Iteración</t>
  </si>
  <si>
    <t>2 a 4 sprints</t>
  </si>
  <si>
    <t>Iteración 1</t>
  </si>
  <si>
    <t>Iteración 5</t>
  </si>
  <si>
    <t>Transición a Producción &amp; Mantenimiento</t>
  </si>
  <si>
    <r>
      <t>Iteración 0</t>
    </r>
    <r>
      <rPr>
        <sz val="11"/>
        <color theme="1"/>
        <rFont val="Aptos Narrow"/>
        <family val="2"/>
        <scheme val="minor"/>
      </rPr>
      <t xml:space="preserve"> </t>
    </r>
  </si>
  <si>
    <t>Iteración 2</t>
  </si>
  <si>
    <t>Iteración 3</t>
  </si>
  <si>
    <t>Iteración 4</t>
  </si>
  <si>
    <t>Operaciones &amp; Acumulación 6m</t>
  </si>
  <si>
    <t xml:space="preserve"> Core KYC</t>
  </si>
  <si>
    <t>Incepción, Compliance, Stack</t>
  </si>
  <si>
    <t>3 sprints</t>
  </si>
  <si>
    <t>Hitos</t>
  </si>
  <si>
    <t>Detalle</t>
  </si>
  <si>
    <t>Tiempo</t>
  </si>
  <si>
    <t xml:space="preserve">módulos de alta/registro de usuarios, empresas, clientes, gestión BC, expedientes </t>
  </si>
  <si>
    <t>4 sprints</t>
  </si>
  <si>
    <t xml:space="preserve">registro de operaciones, cálculo de acumulados 6 meses, reglas umbrales. </t>
  </si>
  <si>
    <t>Diccionario de Datos, Diagrama E-R, Diagrama de Clases, Diagrama de Arquitectura</t>
  </si>
  <si>
    <t>Riesgo &amp; Monitoreo</t>
  </si>
  <si>
    <t>matriz de riesgo, scoring automatizado, alertas</t>
  </si>
  <si>
    <t>generación de avisos (formatos oficiales)</t>
  </si>
  <si>
    <t>Reportes &amp; Avisos oficiales</t>
  </si>
  <si>
    <t xml:space="preserve"> Go-Live, SLA, plan de evolution</t>
  </si>
  <si>
    <t>1 sprints</t>
  </si>
  <si>
    <t xml:space="preserve"> Definición de alcance</t>
  </si>
  <si>
    <t>Días</t>
  </si>
  <si>
    <t>Análisis</t>
  </si>
  <si>
    <t>Reglas de Negocio</t>
  </si>
  <si>
    <t>Diagrama y diccionario de datos</t>
  </si>
  <si>
    <t>Usuarios</t>
  </si>
  <si>
    <t>Empresas</t>
  </si>
  <si>
    <t>Clientes</t>
  </si>
  <si>
    <t>Beneficiario Controlador</t>
  </si>
  <si>
    <t>Documentos</t>
  </si>
  <si>
    <t>Diseño</t>
  </si>
  <si>
    <t>Desarrollo</t>
  </si>
  <si>
    <t>BD Usuarios</t>
  </si>
  <si>
    <t>BD Empresas</t>
  </si>
  <si>
    <t>BD Clientes</t>
  </si>
  <si>
    <t>BD Beneficiario Controlador</t>
  </si>
  <si>
    <t>BD Documentos</t>
  </si>
  <si>
    <t>UI/UX Inicio Sesión</t>
  </si>
  <si>
    <t>UI/UX Usuarios</t>
  </si>
  <si>
    <t>UI/UX Empresas</t>
  </si>
  <si>
    <t>UI/UX Clientes</t>
  </si>
  <si>
    <t>UI/UX Beneficiario Controlador</t>
  </si>
  <si>
    <t>UI/UX Documentos</t>
  </si>
  <si>
    <t>BD - Usuarios</t>
  </si>
  <si>
    <t>BD - Sesiones</t>
  </si>
  <si>
    <t>API de registro de Usuarios</t>
  </si>
  <si>
    <t>API de Sesiones</t>
  </si>
  <si>
    <t>Tablas y Procedimientos</t>
  </si>
  <si>
    <t>Front-End Inicio de Sesión</t>
  </si>
  <si>
    <t>Front-End Usuarios</t>
  </si>
  <si>
    <t>Aplicación Web</t>
  </si>
  <si>
    <t>Pruebas</t>
  </si>
  <si>
    <t>Documentación</t>
  </si>
  <si>
    <t>Inicio de Sesión</t>
  </si>
  <si>
    <t>Gestión de Usuarios</t>
  </si>
  <si>
    <t>Gestión de Empresas</t>
  </si>
  <si>
    <t>Gestión de Clientes</t>
  </si>
  <si>
    <t>Gestión de Beneficiarios Controladores</t>
  </si>
  <si>
    <t>Gestión de Documentos</t>
  </si>
  <si>
    <t>On-Boarding e Inicio de Sesión</t>
  </si>
  <si>
    <t>Guía de uso en Notion</t>
  </si>
  <si>
    <t>Matriz de pruebas realizadas</t>
  </si>
  <si>
    <t>Operaciones</t>
  </si>
  <si>
    <t>BD Operaciones</t>
  </si>
  <si>
    <t>UI/UX Operaciones</t>
  </si>
  <si>
    <t>API Gestión de Operaciones</t>
  </si>
  <si>
    <t>Front End Gestión de Operaciones</t>
  </si>
  <si>
    <t>Acumulación 6m</t>
  </si>
  <si>
    <t>UI/UX Monitor de acumulación</t>
  </si>
  <si>
    <t>BD motor de Acumulación</t>
  </si>
  <si>
    <t>BD motor de Alertas</t>
  </si>
  <si>
    <t>UI/UX Monitor de alertas</t>
  </si>
  <si>
    <t>Wireframes</t>
  </si>
  <si>
    <t>API motor de Acumulación</t>
  </si>
  <si>
    <t>API motor de Alertas</t>
  </si>
  <si>
    <t>Front-End Monitor Acumulación</t>
  </si>
  <si>
    <t>Front-End Monitor Alertas</t>
  </si>
  <si>
    <t>Acumulación 6M</t>
  </si>
  <si>
    <t>Generación de Alertas</t>
  </si>
  <si>
    <t>Riesgo</t>
  </si>
  <si>
    <t>Matríz Configuración y Evaluación de Riesgo</t>
  </si>
  <si>
    <t>BD Matríz Configuración y Evaluación de Riesgo</t>
  </si>
  <si>
    <t>UI/UX Matríz Configuración y Evaluación de Riesgo</t>
  </si>
  <si>
    <t>API Matríz Configuración</t>
  </si>
  <si>
    <t>API Evaluación de Riesgo</t>
  </si>
  <si>
    <t>Front-End Matríz Configuración</t>
  </si>
  <si>
    <t>Front-End Monitor Evaluación de Riesgo</t>
  </si>
  <si>
    <t>Configuraciones de la Matríz de Riesgo</t>
  </si>
  <si>
    <t>Evaluación de Nivel de Riesgo</t>
  </si>
  <si>
    <t>Compliance Previo</t>
  </si>
  <si>
    <t>Reportes &amp; Avisos</t>
  </si>
  <si>
    <t>Definición de los reportes</t>
  </si>
  <si>
    <t>Definción de catálogos</t>
  </si>
  <si>
    <t>Listados de Catálogos y valores</t>
  </si>
  <si>
    <t>BD Catálogos</t>
  </si>
  <si>
    <t>BD Reportes</t>
  </si>
  <si>
    <t>UI/UX Descarga de Reportes</t>
  </si>
  <si>
    <t>API Reportes</t>
  </si>
  <si>
    <t>Front-End Descarga de Reportes</t>
  </si>
  <si>
    <t>Generación de Reportes</t>
  </si>
  <si>
    <t>BD - Empresas</t>
  </si>
  <si>
    <t>BD - Clientes</t>
  </si>
  <si>
    <t>BD - Beneficiario Controlador</t>
  </si>
  <si>
    <t>BD - Documentos</t>
  </si>
  <si>
    <t>API Empresas</t>
  </si>
  <si>
    <t>API Clientes</t>
  </si>
  <si>
    <t>API Beneficiario Controlador</t>
  </si>
  <si>
    <t>API Documentos</t>
  </si>
  <si>
    <t>Front-End Empresas</t>
  </si>
  <si>
    <t>Front-End Clientes</t>
  </si>
  <si>
    <t>Front-End Beneficiario Controlador</t>
  </si>
  <si>
    <t>Front-End Documentos</t>
  </si>
  <si>
    <t>BD Importación de Clientes y Operaciones</t>
  </si>
  <si>
    <t>API Importación de Clientes y Operaciones</t>
  </si>
  <si>
    <t>Front End API Importación de Clientes y Operaciones</t>
  </si>
  <si>
    <t>Importación de Clientes y Operaciones</t>
  </si>
  <si>
    <t>UI/UX Importación de Clientes y Operaciones</t>
  </si>
  <si>
    <t>Recurso</t>
  </si>
  <si>
    <t>JCA</t>
  </si>
  <si>
    <t>DCL</t>
  </si>
  <si>
    <t>GP</t>
  </si>
  <si>
    <t>VTR</t>
  </si>
  <si>
    <t>FechaInicial</t>
  </si>
  <si>
    <t>FechaFinal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</si>
</sst>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Arial Unicode MS"/>
    </font>
    <font>
      <sz val="9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2" borderId="0" xfId="0" applyFont="1" applyFill="1"/>
    <xf numFmtId="0" fontId="5" fillId="3" borderId="0" xfId="0" applyFont="1" applyFill="1" applyAlignment="1">
      <alignment horizontal="center"/>
    </xf>
    <xf numFmtId="0" fontId="0" fillId="4" borderId="0" xfId="0" applyFill="1"/>
    <xf numFmtId="0" fontId="3" fillId="2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4" fillId="4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/>
    <xf numFmtId="0" fontId="0" fillId="5" borderId="0" xfId="0" applyFill="1" applyAlignment="1">
      <alignment horizontal="left" vertical="center" wrapText="1"/>
    </xf>
    <xf numFmtId="0" fontId="0" fillId="5" borderId="0" xfId="0" applyFill="1"/>
    <xf numFmtId="14" fontId="0" fillId="4" borderId="0" xfId="0" applyNumberFormat="1" applyFill="1"/>
    <xf numFmtId="14" fontId="0" fillId="6" borderId="0" xfId="0" applyNumberFormat="1" applyFill="1"/>
    <xf numFmtId="14" fontId="0" fillId="5" borderId="0" xfId="0" applyNumberFormat="1" applyFill="1" applyAlignment="1">
      <alignment horizontal="right" vertical="center"/>
    </xf>
    <xf numFmtId="14" fontId="0" fillId="5" borderId="0" xfId="0" applyNumberFormat="1" applyFill="1" applyAlignment="1">
      <alignment horizontal="right"/>
    </xf>
    <xf numFmtId="14" fontId="0" fillId="3" borderId="0" xfId="0" applyNumberFormat="1" applyFill="1" applyAlignment="1">
      <alignment horizontal="right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horizontal="right"/>
    </xf>
    <xf numFmtId="14" fontId="2" fillId="7" borderId="0" xfId="0" applyNumberFormat="1" applyFont="1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left" vertical="center" wrapText="1"/>
    </xf>
    <xf numFmtId="0" fontId="0" fillId="7" borderId="0" xfId="0" applyFill="1"/>
    <xf numFmtId="14" fontId="0" fillId="7" borderId="0" xfId="0" applyNumberFormat="1" applyFill="1"/>
    <xf numFmtId="14" fontId="0" fillId="7" borderId="0" xfId="0" applyNumberFormat="1" applyFill="1" applyAlignment="1">
      <alignment horizontal="right"/>
    </xf>
    <xf numFmtId="0" fontId="0" fillId="8" borderId="0" xfId="0" applyFill="1" applyAlignment="1">
      <alignment horizontal="left" vertical="center" wrapText="1"/>
    </xf>
    <xf numFmtId="0" fontId="0" fillId="8" borderId="0" xfId="0" applyFill="1" applyAlignment="1">
      <alignment horizontal="left" vertical="center"/>
    </xf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right"/>
    </xf>
    <xf numFmtId="0" fontId="0" fillId="6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/>
    </xf>
    <xf numFmtId="0" fontId="0" fillId="6" borderId="0" xfId="0" applyFill="1"/>
    <xf numFmtId="14" fontId="0" fillId="6" borderId="0" xfId="0" applyNumberFormat="1" applyFill="1" applyAlignment="1">
      <alignment horizontal="right"/>
    </xf>
    <xf numFmtId="0" fontId="9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008F-A44A-4A69-A63F-488395493E81}">
  <dimension ref="A1:I13"/>
  <sheetViews>
    <sheetView topLeftCell="B1" zoomScale="130" zoomScaleNormal="130" workbookViewId="0">
      <selection activeCell="F3" sqref="F3:I8"/>
    </sheetView>
  </sheetViews>
  <sheetFormatPr baseColWidth="10" defaultRowHeight="15"/>
  <cols>
    <col min="1" max="1" width="4" style="3" customWidth="1"/>
    <col min="2" max="2" width="46.42578125" style="6" customWidth="1"/>
    <col min="3" max="3" width="5.28515625" style="3" customWidth="1"/>
    <col min="4" max="4" width="39.140625" style="3" bestFit="1" customWidth="1"/>
    <col min="5" max="5" width="6.5703125" style="3" customWidth="1"/>
    <col min="6" max="6" width="11.85546875" style="3" bestFit="1" customWidth="1"/>
    <col min="7" max="7" width="29.7109375" style="6" bestFit="1" customWidth="1"/>
    <col min="8" max="8" width="45.42578125" style="6" customWidth="1"/>
    <col min="9" max="16384" width="11.42578125" style="3"/>
  </cols>
  <sheetData>
    <row r="1" spans="1:9" ht="18.75">
      <c r="A1" s="1" t="s">
        <v>26</v>
      </c>
      <c r="B1" s="4"/>
      <c r="D1" s="1" t="s">
        <v>25</v>
      </c>
      <c r="F1" s="1" t="s">
        <v>29</v>
      </c>
      <c r="G1" s="4"/>
      <c r="H1" s="4"/>
      <c r="I1" s="4"/>
    </row>
    <row r="2" spans="1:9" ht="18.75">
      <c r="A2" s="2" t="s">
        <v>27</v>
      </c>
      <c r="B2" s="5" t="s">
        <v>28</v>
      </c>
      <c r="D2" s="5" t="s">
        <v>30</v>
      </c>
      <c r="F2" s="5" t="s">
        <v>27</v>
      </c>
      <c r="G2" s="5" t="s">
        <v>51</v>
      </c>
      <c r="H2" s="5" t="s">
        <v>52</v>
      </c>
      <c r="I2" s="5" t="s">
        <v>53</v>
      </c>
    </row>
    <row r="3" spans="1:9" ht="30">
      <c r="A3" s="8">
        <v>1</v>
      </c>
      <c r="B3" s="9" t="s">
        <v>18</v>
      </c>
      <c r="D3" s="8" t="s">
        <v>31</v>
      </c>
      <c r="F3" s="10" t="s">
        <v>43</v>
      </c>
      <c r="G3" s="9" t="s">
        <v>49</v>
      </c>
      <c r="H3" s="9" t="s">
        <v>57</v>
      </c>
      <c r="I3" s="8" t="s">
        <v>50</v>
      </c>
    </row>
    <row r="4" spans="1:9" ht="30">
      <c r="A4" s="8">
        <v>2</v>
      </c>
      <c r="B4" s="9" t="s">
        <v>19</v>
      </c>
      <c r="D4" s="8" t="s">
        <v>32</v>
      </c>
      <c r="F4" s="11" t="s">
        <v>40</v>
      </c>
      <c r="G4" s="12" t="s">
        <v>48</v>
      </c>
      <c r="H4" s="12" t="s">
        <v>54</v>
      </c>
      <c r="I4" s="13" t="s">
        <v>55</v>
      </c>
    </row>
    <row r="5" spans="1:9" ht="30">
      <c r="A5" s="8">
        <v>3</v>
      </c>
      <c r="B5" s="9" t="s">
        <v>20</v>
      </c>
      <c r="D5" s="8" t="s">
        <v>33</v>
      </c>
      <c r="F5" s="11" t="s">
        <v>44</v>
      </c>
      <c r="G5" s="12" t="s">
        <v>47</v>
      </c>
      <c r="H5" s="12" t="s">
        <v>56</v>
      </c>
      <c r="I5" s="13" t="s">
        <v>55</v>
      </c>
    </row>
    <row r="6" spans="1:9" ht="30">
      <c r="A6" s="8">
        <v>4</v>
      </c>
      <c r="B6" s="9" t="s">
        <v>15</v>
      </c>
      <c r="D6" s="8" t="s">
        <v>34</v>
      </c>
      <c r="F6" s="11" t="s">
        <v>45</v>
      </c>
      <c r="G6" s="12" t="s">
        <v>58</v>
      </c>
      <c r="H6" s="12" t="s">
        <v>59</v>
      </c>
      <c r="I6" s="13" t="s">
        <v>50</v>
      </c>
    </row>
    <row r="7" spans="1:9">
      <c r="A7" s="8">
        <v>5</v>
      </c>
      <c r="B7" s="9" t="s">
        <v>23</v>
      </c>
      <c r="D7" s="8" t="s">
        <v>35</v>
      </c>
      <c r="F7" s="11" t="s">
        <v>46</v>
      </c>
      <c r="G7" s="12" t="s">
        <v>61</v>
      </c>
      <c r="H7" s="12" t="s">
        <v>60</v>
      </c>
      <c r="I7" s="13" t="s">
        <v>55</v>
      </c>
    </row>
    <row r="8" spans="1:9" ht="30">
      <c r="A8" s="8">
        <v>6</v>
      </c>
      <c r="B8" s="9" t="s">
        <v>24</v>
      </c>
      <c r="D8" s="5" t="s">
        <v>36</v>
      </c>
      <c r="F8" s="11" t="s">
        <v>41</v>
      </c>
      <c r="G8" s="12" t="s">
        <v>42</v>
      </c>
      <c r="H8" s="12" t="s">
        <v>62</v>
      </c>
      <c r="I8" s="13" t="s">
        <v>63</v>
      </c>
    </row>
    <row r="9" spans="1:9" ht="30">
      <c r="A9" s="8">
        <v>7</v>
      </c>
      <c r="B9" s="9" t="s">
        <v>16</v>
      </c>
      <c r="D9" s="8" t="s">
        <v>37</v>
      </c>
    </row>
    <row r="10" spans="1:9" ht="30">
      <c r="A10" s="8">
        <v>8</v>
      </c>
      <c r="B10" s="9" t="s">
        <v>17</v>
      </c>
      <c r="D10" s="5" t="s">
        <v>38</v>
      </c>
    </row>
    <row r="11" spans="1:9">
      <c r="A11" s="8">
        <v>9</v>
      </c>
      <c r="B11" s="9" t="s">
        <v>21</v>
      </c>
      <c r="D11" s="8" t="s">
        <v>39</v>
      </c>
      <c r="F11"/>
    </row>
    <row r="12" spans="1:9">
      <c r="A12" s="8">
        <v>10</v>
      </c>
      <c r="B12" s="9" t="s">
        <v>22</v>
      </c>
    </row>
    <row r="13" spans="1:9">
      <c r="F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A42B-53AD-4B1D-9D68-2CD3B85D3983}">
  <dimension ref="A1:L128"/>
  <sheetViews>
    <sheetView tabSelected="1" topLeftCell="A35" zoomScale="145" zoomScaleNormal="145" workbookViewId="0">
      <selection activeCell="L12" sqref="L12"/>
    </sheetView>
  </sheetViews>
  <sheetFormatPr baseColWidth="10" defaultRowHeight="18.75" customHeight="1"/>
  <cols>
    <col min="1" max="2" width="3.28515625" style="3" customWidth="1"/>
    <col min="3" max="3" width="14.140625" style="3" customWidth="1"/>
    <col min="4" max="4" width="11" style="3" customWidth="1"/>
    <col min="5" max="5" width="35.7109375" style="3" customWidth="1"/>
    <col min="6" max="6" width="19.5703125" style="3" customWidth="1"/>
    <col min="7" max="7" width="8.7109375" style="3" customWidth="1"/>
    <col min="8" max="8" width="7" style="3" customWidth="1"/>
    <col min="9" max="9" width="12.85546875" style="27" customWidth="1"/>
    <col min="10" max="10" width="12.85546875" style="28" customWidth="1"/>
    <col min="11" max="11" width="4.7109375" style="3" bestFit="1" customWidth="1"/>
    <col min="12" max="12" width="10.7109375" style="3" customWidth="1"/>
    <col min="13" max="13" width="9.5703125" style="3" bestFit="1" customWidth="1"/>
    <col min="14" max="16384" width="11.42578125" style="3"/>
  </cols>
  <sheetData>
    <row r="1" spans="1:12" s="30" customFormat="1" ht="18.75" customHeight="1">
      <c r="A1" s="15" t="s">
        <v>27</v>
      </c>
      <c r="B1" s="15"/>
      <c r="C1" s="15" t="s">
        <v>51</v>
      </c>
      <c r="D1" s="15"/>
      <c r="E1" s="16" t="s">
        <v>0</v>
      </c>
      <c r="F1" s="16" t="s">
        <v>1</v>
      </c>
      <c r="G1" s="16" t="s">
        <v>161</v>
      </c>
      <c r="H1" s="16" t="s">
        <v>65</v>
      </c>
      <c r="I1" s="16" t="s">
        <v>166</v>
      </c>
      <c r="J1" s="16" t="s">
        <v>167</v>
      </c>
    </row>
    <row r="2" spans="1:12" ht="15">
      <c r="A2" s="31">
        <v>1</v>
      </c>
      <c r="B2" s="17"/>
      <c r="C2" s="45" t="s">
        <v>133</v>
      </c>
      <c r="D2" s="20" t="s">
        <v>66</v>
      </c>
      <c r="E2" s="21" t="s">
        <v>2</v>
      </c>
      <c r="F2" s="21" t="s">
        <v>3</v>
      </c>
      <c r="G2" s="21" t="s">
        <v>162</v>
      </c>
      <c r="H2" s="21">
        <v>10</v>
      </c>
      <c r="I2" s="29">
        <v>45915</v>
      </c>
      <c r="J2" s="25">
        <f>I2+H2</f>
        <v>45925</v>
      </c>
    </row>
    <row r="3" spans="1:12" ht="15">
      <c r="A3" s="31"/>
      <c r="B3" s="17"/>
      <c r="C3" s="45" t="s">
        <v>133</v>
      </c>
      <c r="D3" s="20" t="s">
        <v>66</v>
      </c>
      <c r="E3" s="21" t="s">
        <v>64</v>
      </c>
      <c r="F3" s="21" t="s">
        <v>4</v>
      </c>
      <c r="G3" s="21" t="s">
        <v>162</v>
      </c>
      <c r="H3" s="21">
        <v>3</v>
      </c>
      <c r="I3" s="24">
        <f>J2+1</f>
        <v>45926</v>
      </c>
      <c r="J3" s="25">
        <f>I3+H3</f>
        <v>45929</v>
      </c>
    </row>
    <row r="4" spans="1:12" ht="15">
      <c r="A4" s="31"/>
      <c r="B4" s="17"/>
      <c r="C4" s="45" t="s">
        <v>133</v>
      </c>
      <c r="D4" s="20" t="s">
        <v>66</v>
      </c>
      <c r="E4" s="21" t="s">
        <v>5</v>
      </c>
      <c r="F4" s="21" t="s">
        <v>6</v>
      </c>
      <c r="G4" s="21" t="s">
        <v>162</v>
      </c>
      <c r="H4" s="21">
        <v>3</v>
      </c>
      <c r="I4" s="24">
        <f>J3+1</f>
        <v>45930</v>
      </c>
      <c r="J4" s="25">
        <f>I4+H4</f>
        <v>45933</v>
      </c>
    </row>
    <row r="5" spans="1:12" ht="15">
      <c r="A5" s="31"/>
      <c r="B5" s="17"/>
      <c r="C5" s="45" t="s">
        <v>133</v>
      </c>
      <c r="D5" s="20" t="s">
        <v>66</v>
      </c>
      <c r="E5" s="21" t="s">
        <v>7</v>
      </c>
      <c r="F5" s="21" t="s">
        <v>8</v>
      </c>
      <c r="G5" s="21" t="s">
        <v>162</v>
      </c>
      <c r="H5" s="21">
        <v>11</v>
      </c>
      <c r="I5" s="24">
        <f t="shared" ref="I5:I6" si="0">J4+1</f>
        <v>45934</v>
      </c>
      <c r="J5" s="25">
        <f t="shared" ref="J5:J6" si="1">I5+H5</f>
        <v>45945</v>
      </c>
    </row>
    <row r="6" spans="1:12" ht="15">
      <c r="A6" s="31"/>
      <c r="B6" s="17"/>
      <c r="C6" s="45" t="s">
        <v>133</v>
      </c>
      <c r="D6" s="20" t="s">
        <v>66</v>
      </c>
      <c r="E6" s="21" t="s">
        <v>9</v>
      </c>
      <c r="F6" s="21" t="s">
        <v>10</v>
      </c>
      <c r="G6" s="21" t="s">
        <v>162</v>
      </c>
      <c r="H6" s="21">
        <v>3</v>
      </c>
      <c r="I6" s="24">
        <f t="shared" si="0"/>
        <v>45946</v>
      </c>
      <c r="J6" s="29">
        <f t="shared" si="1"/>
        <v>45949</v>
      </c>
    </row>
    <row r="7" spans="1:12" ht="15">
      <c r="A7" s="31">
        <v>2</v>
      </c>
      <c r="B7" s="17"/>
      <c r="C7" s="32" t="s">
        <v>48</v>
      </c>
      <c r="D7" s="32" t="s">
        <v>66</v>
      </c>
      <c r="E7" s="33" t="s">
        <v>97</v>
      </c>
      <c r="F7" s="33" t="s">
        <v>67</v>
      </c>
      <c r="G7" s="33" t="s">
        <v>162</v>
      </c>
      <c r="H7" s="33">
        <v>1</v>
      </c>
      <c r="I7" s="34">
        <f>IF(WEEKDAY(J6+1,2)=7, J6+2, J6+1)</f>
        <v>45950</v>
      </c>
      <c r="J7" s="35">
        <f>IF(WEEKDAY(I7+H7,2)=7, I7+H7+1, I7+H7)</f>
        <v>45951</v>
      </c>
      <c r="L7" s="22">
        <v>45998</v>
      </c>
    </row>
    <row r="8" spans="1:12" ht="15">
      <c r="A8" s="31"/>
      <c r="B8" s="17"/>
      <c r="C8" s="18" t="s">
        <v>48</v>
      </c>
      <c r="D8" s="18" t="s">
        <v>66</v>
      </c>
      <c r="E8" s="19" t="s">
        <v>69</v>
      </c>
      <c r="F8" s="19" t="s">
        <v>67</v>
      </c>
      <c r="G8" s="19" t="s">
        <v>162</v>
      </c>
      <c r="H8" s="19">
        <v>1</v>
      </c>
      <c r="I8" s="22">
        <f t="shared" ref="I8:I71" si="2">IF(WEEKDAY(J7+1,2)=7, J7+2, J7+1)</f>
        <v>45952</v>
      </c>
      <c r="J8" s="26">
        <f t="shared" ref="J8:J71" si="3">IF(WEEKDAY(I8+H8,2)=7, I8+H8+1, I8+H8)</f>
        <v>45953</v>
      </c>
    </row>
    <row r="9" spans="1:12" ht="15">
      <c r="A9" s="31"/>
      <c r="B9" s="17"/>
      <c r="C9" s="18" t="s">
        <v>48</v>
      </c>
      <c r="D9" s="18" t="s">
        <v>66</v>
      </c>
      <c r="E9" s="19" t="s">
        <v>70</v>
      </c>
      <c r="F9" s="19" t="s">
        <v>67</v>
      </c>
      <c r="G9" s="19" t="s">
        <v>162</v>
      </c>
      <c r="H9" s="19">
        <v>1</v>
      </c>
      <c r="I9" s="22">
        <f t="shared" si="2"/>
        <v>45954</v>
      </c>
      <c r="J9" s="26">
        <f t="shared" si="3"/>
        <v>45955</v>
      </c>
    </row>
    <row r="10" spans="1:12" ht="15">
      <c r="A10" s="31"/>
      <c r="B10" s="17"/>
      <c r="C10" s="18" t="s">
        <v>48</v>
      </c>
      <c r="D10" s="18" t="s">
        <v>66</v>
      </c>
      <c r="E10" s="19" t="s">
        <v>71</v>
      </c>
      <c r="F10" s="19" t="s">
        <v>67</v>
      </c>
      <c r="G10" s="19" t="s">
        <v>162</v>
      </c>
      <c r="H10" s="19">
        <v>1</v>
      </c>
      <c r="I10" s="22">
        <f t="shared" si="2"/>
        <v>45957</v>
      </c>
      <c r="J10" s="26">
        <f t="shared" si="3"/>
        <v>45958</v>
      </c>
    </row>
    <row r="11" spans="1:12" ht="15">
      <c r="A11" s="31"/>
      <c r="B11" s="17"/>
      <c r="C11" s="18" t="s">
        <v>48</v>
      </c>
      <c r="D11" s="18" t="s">
        <v>66</v>
      </c>
      <c r="E11" s="19" t="s">
        <v>72</v>
      </c>
      <c r="F11" s="19" t="s">
        <v>67</v>
      </c>
      <c r="G11" s="19" t="s">
        <v>162</v>
      </c>
      <c r="H11" s="19">
        <v>1</v>
      </c>
      <c r="I11" s="22">
        <f t="shared" si="2"/>
        <v>45959</v>
      </c>
      <c r="J11" s="26">
        <f t="shared" si="3"/>
        <v>45960</v>
      </c>
    </row>
    <row r="12" spans="1:12" ht="15">
      <c r="A12" s="31"/>
      <c r="B12" s="17"/>
      <c r="C12" s="18" t="s">
        <v>48</v>
      </c>
      <c r="D12" s="18" t="s">
        <v>66</v>
      </c>
      <c r="E12" s="19" t="s">
        <v>73</v>
      </c>
      <c r="F12" s="19" t="s">
        <v>67</v>
      </c>
      <c r="G12" s="19" t="s">
        <v>162</v>
      </c>
      <c r="H12" s="19">
        <v>1</v>
      </c>
      <c r="I12" s="22">
        <f t="shared" si="2"/>
        <v>45961</v>
      </c>
      <c r="J12" s="26">
        <f t="shared" si="3"/>
        <v>45962</v>
      </c>
    </row>
    <row r="13" spans="1:12" ht="15">
      <c r="A13" s="31"/>
      <c r="B13" s="17"/>
      <c r="C13" s="20" t="s">
        <v>48</v>
      </c>
      <c r="D13" s="20" t="s">
        <v>74</v>
      </c>
      <c r="E13" s="21" t="s">
        <v>76</v>
      </c>
      <c r="F13" s="21" t="s">
        <v>68</v>
      </c>
      <c r="G13" s="21" t="s">
        <v>162</v>
      </c>
      <c r="H13" s="21">
        <v>0.5</v>
      </c>
      <c r="I13" s="22">
        <f t="shared" si="2"/>
        <v>45964</v>
      </c>
      <c r="J13" s="26">
        <f t="shared" si="3"/>
        <v>45964.5</v>
      </c>
    </row>
    <row r="14" spans="1:12" ht="15">
      <c r="A14" s="31"/>
      <c r="B14" s="17"/>
      <c r="C14" s="20" t="s">
        <v>48</v>
      </c>
      <c r="D14" s="20" t="s">
        <v>74</v>
      </c>
      <c r="E14" s="21" t="s">
        <v>77</v>
      </c>
      <c r="F14" s="21" t="s">
        <v>68</v>
      </c>
      <c r="G14" s="21" t="s">
        <v>162</v>
      </c>
      <c r="H14" s="21">
        <v>0.5</v>
      </c>
      <c r="I14" s="22">
        <f t="shared" si="2"/>
        <v>45965.5</v>
      </c>
      <c r="J14" s="26">
        <f t="shared" si="3"/>
        <v>45966</v>
      </c>
    </row>
    <row r="15" spans="1:12" ht="15">
      <c r="A15" s="31"/>
      <c r="B15" s="17"/>
      <c r="C15" s="20" t="s">
        <v>48</v>
      </c>
      <c r="D15" s="20" t="s">
        <v>74</v>
      </c>
      <c r="E15" s="21" t="s">
        <v>78</v>
      </c>
      <c r="F15" s="21" t="s">
        <v>68</v>
      </c>
      <c r="G15" s="21" t="s">
        <v>162</v>
      </c>
      <c r="H15" s="21">
        <v>0.5</v>
      </c>
      <c r="I15" s="22">
        <f t="shared" si="2"/>
        <v>45967</v>
      </c>
      <c r="J15" s="26">
        <f t="shared" si="3"/>
        <v>45967.5</v>
      </c>
    </row>
    <row r="16" spans="1:12" ht="15">
      <c r="A16" s="31"/>
      <c r="B16" s="17"/>
      <c r="C16" s="20" t="s">
        <v>48</v>
      </c>
      <c r="D16" s="20" t="s">
        <v>74</v>
      </c>
      <c r="E16" s="21" t="s">
        <v>79</v>
      </c>
      <c r="F16" s="21" t="s">
        <v>68</v>
      </c>
      <c r="G16" s="21" t="s">
        <v>162</v>
      </c>
      <c r="H16" s="21">
        <v>0.5</v>
      </c>
      <c r="I16" s="22">
        <f t="shared" si="2"/>
        <v>45968.5</v>
      </c>
      <c r="J16" s="26">
        <f t="shared" si="3"/>
        <v>45969</v>
      </c>
    </row>
    <row r="17" spans="1:10" ht="15">
      <c r="A17" s="31"/>
      <c r="B17" s="17"/>
      <c r="C17" s="20" t="s">
        <v>48</v>
      </c>
      <c r="D17" s="20" t="s">
        <v>74</v>
      </c>
      <c r="E17" s="21" t="s">
        <v>80</v>
      </c>
      <c r="F17" s="21" t="s">
        <v>68</v>
      </c>
      <c r="G17" s="21" t="s">
        <v>162</v>
      </c>
      <c r="H17" s="21">
        <v>0.5</v>
      </c>
      <c r="I17" s="22">
        <f t="shared" si="2"/>
        <v>45971</v>
      </c>
      <c r="J17" s="26">
        <f t="shared" si="3"/>
        <v>45971.5</v>
      </c>
    </row>
    <row r="18" spans="1:10" ht="15">
      <c r="A18" s="31"/>
      <c r="B18" s="17"/>
      <c r="C18" s="20" t="s">
        <v>48</v>
      </c>
      <c r="D18" s="20" t="s">
        <v>74</v>
      </c>
      <c r="E18" s="21" t="s">
        <v>81</v>
      </c>
      <c r="F18" s="21" t="s">
        <v>11</v>
      </c>
      <c r="G18" s="21" t="s">
        <v>162</v>
      </c>
      <c r="H18" s="21">
        <v>0.25</v>
      </c>
      <c r="I18" s="22">
        <f t="shared" si="2"/>
        <v>45972.5</v>
      </c>
      <c r="J18" s="26">
        <f t="shared" si="3"/>
        <v>45972.75</v>
      </c>
    </row>
    <row r="19" spans="1:10" ht="15">
      <c r="A19" s="31"/>
      <c r="B19" s="17"/>
      <c r="C19" s="20" t="s">
        <v>48</v>
      </c>
      <c r="D19" s="20" t="s">
        <v>74</v>
      </c>
      <c r="E19" s="21" t="s">
        <v>82</v>
      </c>
      <c r="F19" s="21" t="s">
        <v>11</v>
      </c>
      <c r="G19" s="21" t="s">
        <v>162</v>
      </c>
      <c r="H19" s="21">
        <v>0.25</v>
      </c>
      <c r="I19" s="22">
        <f t="shared" si="2"/>
        <v>45973.75</v>
      </c>
      <c r="J19" s="26">
        <f t="shared" si="3"/>
        <v>45974</v>
      </c>
    </row>
    <row r="20" spans="1:10" ht="15">
      <c r="A20" s="31"/>
      <c r="B20" s="17"/>
      <c r="C20" s="20" t="s">
        <v>48</v>
      </c>
      <c r="D20" s="20" t="s">
        <v>74</v>
      </c>
      <c r="E20" s="21" t="s">
        <v>83</v>
      </c>
      <c r="F20" s="21" t="s">
        <v>11</v>
      </c>
      <c r="G20" s="21" t="s">
        <v>162</v>
      </c>
      <c r="H20" s="21">
        <v>0.25</v>
      </c>
      <c r="I20" s="22">
        <f t="shared" si="2"/>
        <v>45975</v>
      </c>
      <c r="J20" s="26">
        <f t="shared" si="3"/>
        <v>45975.25</v>
      </c>
    </row>
    <row r="21" spans="1:10" ht="15">
      <c r="A21" s="31"/>
      <c r="B21" s="17"/>
      <c r="C21" s="20" t="s">
        <v>48</v>
      </c>
      <c r="D21" s="20" t="s">
        <v>74</v>
      </c>
      <c r="E21" s="21" t="s">
        <v>84</v>
      </c>
      <c r="F21" s="21" t="s">
        <v>11</v>
      </c>
      <c r="G21" s="21" t="s">
        <v>162</v>
      </c>
      <c r="H21" s="21">
        <v>0.25</v>
      </c>
      <c r="I21" s="22">
        <f t="shared" si="2"/>
        <v>45976.25</v>
      </c>
      <c r="J21" s="26">
        <f t="shared" si="3"/>
        <v>45976.5</v>
      </c>
    </row>
    <row r="22" spans="1:10" ht="15">
      <c r="A22" s="31"/>
      <c r="B22" s="17"/>
      <c r="C22" s="20" t="s">
        <v>48</v>
      </c>
      <c r="D22" s="20" t="s">
        <v>74</v>
      </c>
      <c r="E22" s="21" t="s">
        <v>85</v>
      </c>
      <c r="F22" s="21" t="s">
        <v>11</v>
      </c>
      <c r="G22" s="21" t="s">
        <v>162</v>
      </c>
      <c r="H22" s="21">
        <v>0.25</v>
      </c>
      <c r="I22" s="22">
        <f t="shared" si="2"/>
        <v>45978.5</v>
      </c>
      <c r="J22" s="26">
        <f t="shared" si="3"/>
        <v>45978.75</v>
      </c>
    </row>
    <row r="23" spans="1:10" ht="15">
      <c r="A23" s="31"/>
      <c r="B23" s="17"/>
      <c r="C23" s="20" t="s">
        <v>48</v>
      </c>
      <c r="D23" s="20" t="s">
        <v>74</v>
      </c>
      <c r="E23" s="21" t="s">
        <v>86</v>
      </c>
      <c r="F23" s="21" t="s">
        <v>11</v>
      </c>
      <c r="G23" s="21" t="s">
        <v>162</v>
      </c>
      <c r="H23" s="21">
        <v>0.25</v>
      </c>
      <c r="I23" s="22">
        <f t="shared" si="2"/>
        <v>45979.75</v>
      </c>
      <c r="J23" s="26">
        <f t="shared" si="3"/>
        <v>45980</v>
      </c>
    </row>
    <row r="24" spans="1:10" ht="18.75" customHeight="1">
      <c r="A24" s="31"/>
      <c r="B24" s="17"/>
      <c r="C24" s="18" t="s">
        <v>48</v>
      </c>
      <c r="D24" s="18" t="s">
        <v>75</v>
      </c>
      <c r="E24" s="19" t="s">
        <v>87</v>
      </c>
      <c r="F24" s="19" t="s">
        <v>91</v>
      </c>
      <c r="G24" s="19" t="s">
        <v>163</v>
      </c>
      <c r="H24" s="19">
        <v>1</v>
      </c>
      <c r="I24" s="22">
        <f t="shared" si="2"/>
        <v>45981</v>
      </c>
      <c r="J24" s="26">
        <f t="shared" si="3"/>
        <v>45982</v>
      </c>
    </row>
    <row r="25" spans="1:10" ht="18.75" customHeight="1">
      <c r="A25" s="31"/>
      <c r="B25" s="17"/>
      <c r="C25" s="18" t="s">
        <v>48</v>
      </c>
      <c r="D25" s="18" t="s">
        <v>75</v>
      </c>
      <c r="E25" s="19" t="s">
        <v>88</v>
      </c>
      <c r="F25" s="19" t="s">
        <v>91</v>
      </c>
      <c r="G25" s="19" t="s">
        <v>163</v>
      </c>
      <c r="H25" s="19">
        <v>1</v>
      </c>
      <c r="I25" s="22">
        <f t="shared" si="2"/>
        <v>45983</v>
      </c>
      <c r="J25" s="26">
        <f t="shared" si="3"/>
        <v>45985</v>
      </c>
    </row>
    <row r="26" spans="1:10" ht="18.75" customHeight="1">
      <c r="A26" s="31"/>
      <c r="B26" s="17"/>
      <c r="C26" s="18" t="s">
        <v>48</v>
      </c>
      <c r="D26" s="18" t="s">
        <v>75</v>
      </c>
      <c r="E26" s="19" t="s">
        <v>144</v>
      </c>
      <c r="F26" s="19" t="s">
        <v>91</v>
      </c>
      <c r="G26" s="19" t="s">
        <v>163</v>
      </c>
      <c r="H26" s="19">
        <v>2</v>
      </c>
      <c r="I26" s="22">
        <f t="shared" si="2"/>
        <v>45986</v>
      </c>
      <c r="J26" s="26">
        <f t="shared" si="3"/>
        <v>45988</v>
      </c>
    </row>
    <row r="27" spans="1:10" ht="18.75" customHeight="1">
      <c r="A27" s="31"/>
      <c r="B27" s="17"/>
      <c r="C27" s="18" t="s">
        <v>48</v>
      </c>
      <c r="D27" s="18" t="s">
        <v>75</v>
      </c>
      <c r="E27" s="19" t="s">
        <v>145</v>
      </c>
      <c r="F27" s="19" t="s">
        <v>91</v>
      </c>
      <c r="G27" s="19" t="s">
        <v>163</v>
      </c>
      <c r="H27" s="19">
        <v>2</v>
      </c>
      <c r="I27" s="22">
        <f t="shared" si="2"/>
        <v>45989</v>
      </c>
      <c r="J27" s="26">
        <f t="shared" si="3"/>
        <v>45992</v>
      </c>
    </row>
    <row r="28" spans="1:10" ht="18.75" customHeight="1">
      <c r="A28" s="31"/>
      <c r="B28" s="17"/>
      <c r="C28" s="18" t="s">
        <v>48</v>
      </c>
      <c r="D28" s="18" t="s">
        <v>75</v>
      </c>
      <c r="E28" s="19" t="s">
        <v>146</v>
      </c>
      <c r="F28" s="19" t="s">
        <v>91</v>
      </c>
      <c r="G28" s="19" t="s">
        <v>163</v>
      </c>
      <c r="H28" s="19">
        <v>2</v>
      </c>
      <c r="I28" s="22">
        <f t="shared" si="2"/>
        <v>45993</v>
      </c>
      <c r="J28" s="26">
        <f t="shared" si="3"/>
        <v>45995</v>
      </c>
    </row>
    <row r="29" spans="1:10" ht="18.75" customHeight="1">
      <c r="A29" s="31"/>
      <c r="B29" s="17"/>
      <c r="C29" s="18" t="s">
        <v>48</v>
      </c>
      <c r="D29" s="18" t="s">
        <v>75</v>
      </c>
      <c r="E29" s="19" t="s">
        <v>147</v>
      </c>
      <c r="F29" s="19" t="s">
        <v>91</v>
      </c>
      <c r="G29" s="19" t="s">
        <v>163</v>
      </c>
      <c r="H29" s="19">
        <v>1</v>
      </c>
      <c r="I29" s="22">
        <f t="shared" si="2"/>
        <v>45996</v>
      </c>
      <c r="J29" s="26">
        <f t="shared" si="3"/>
        <v>45997</v>
      </c>
    </row>
    <row r="30" spans="1:10" ht="18.75" customHeight="1">
      <c r="A30" s="31"/>
      <c r="B30" s="17"/>
      <c r="C30" s="18" t="s">
        <v>48</v>
      </c>
      <c r="D30" s="18" t="s">
        <v>75</v>
      </c>
      <c r="E30" s="19" t="s">
        <v>89</v>
      </c>
      <c r="F30" s="19" t="s">
        <v>12</v>
      </c>
      <c r="G30" s="19" t="s">
        <v>163</v>
      </c>
      <c r="H30" s="19">
        <v>1</v>
      </c>
      <c r="I30" s="22">
        <f t="shared" si="2"/>
        <v>45999</v>
      </c>
      <c r="J30" s="26">
        <f t="shared" si="3"/>
        <v>46000</v>
      </c>
    </row>
    <row r="31" spans="1:10" ht="18.75" customHeight="1">
      <c r="A31" s="31"/>
      <c r="B31" s="17"/>
      <c r="C31" s="18" t="s">
        <v>48</v>
      </c>
      <c r="D31" s="18" t="s">
        <v>75</v>
      </c>
      <c r="E31" s="19" t="s">
        <v>90</v>
      </c>
      <c r="F31" s="19" t="s">
        <v>12</v>
      </c>
      <c r="G31" s="19" t="s">
        <v>163</v>
      </c>
      <c r="H31" s="19">
        <v>1</v>
      </c>
      <c r="I31" s="22">
        <f t="shared" si="2"/>
        <v>46001</v>
      </c>
      <c r="J31" s="26">
        <f t="shared" si="3"/>
        <v>46002</v>
      </c>
    </row>
    <row r="32" spans="1:10" ht="18.75" customHeight="1">
      <c r="A32" s="31"/>
      <c r="B32" s="17"/>
      <c r="C32" s="18" t="s">
        <v>48</v>
      </c>
      <c r="D32" s="18" t="s">
        <v>75</v>
      </c>
      <c r="E32" s="19" t="s">
        <v>148</v>
      </c>
      <c r="F32" s="19" t="s">
        <v>12</v>
      </c>
      <c r="G32" s="19" t="s">
        <v>163</v>
      </c>
      <c r="H32" s="19">
        <v>2</v>
      </c>
      <c r="I32" s="22">
        <f t="shared" si="2"/>
        <v>46003</v>
      </c>
      <c r="J32" s="26">
        <f t="shared" si="3"/>
        <v>46006</v>
      </c>
    </row>
    <row r="33" spans="1:10" ht="18.75" customHeight="1">
      <c r="A33" s="31"/>
      <c r="B33" s="17"/>
      <c r="C33" s="18" t="s">
        <v>48</v>
      </c>
      <c r="D33" s="18" t="s">
        <v>75</v>
      </c>
      <c r="E33" s="19" t="s">
        <v>149</v>
      </c>
      <c r="F33" s="19" t="s">
        <v>12</v>
      </c>
      <c r="G33" s="19" t="s">
        <v>163</v>
      </c>
      <c r="H33" s="19">
        <v>2</v>
      </c>
      <c r="I33" s="22">
        <f t="shared" si="2"/>
        <v>46007</v>
      </c>
      <c r="J33" s="26">
        <f t="shared" si="3"/>
        <v>46009</v>
      </c>
    </row>
    <row r="34" spans="1:10" ht="18.75" customHeight="1">
      <c r="A34" s="31"/>
      <c r="B34" s="17"/>
      <c r="C34" s="18" t="s">
        <v>48</v>
      </c>
      <c r="D34" s="18" t="s">
        <v>75</v>
      </c>
      <c r="E34" s="19" t="s">
        <v>150</v>
      </c>
      <c r="F34" s="19" t="s">
        <v>12</v>
      </c>
      <c r="G34" s="19" t="s">
        <v>163</v>
      </c>
      <c r="H34" s="19">
        <v>2</v>
      </c>
      <c r="I34" s="22">
        <f t="shared" si="2"/>
        <v>46010</v>
      </c>
      <c r="J34" s="26">
        <f t="shared" si="3"/>
        <v>46013</v>
      </c>
    </row>
    <row r="35" spans="1:10" ht="18.75" customHeight="1">
      <c r="A35" s="31"/>
      <c r="B35" s="17"/>
      <c r="C35" s="18" t="s">
        <v>48</v>
      </c>
      <c r="D35" s="18" t="s">
        <v>75</v>
      </c>
      <c r="E35" s="19" t="s">
        <v>151</v>
      </c>
      <c r="F35" s="19" t="s">
        <v>12</v>
      </c>
      <c r="G35" s="19" t="s">
        <v>163</v>
      </c>
      <c r="H35" s="19">
        <v>1</v>
      </c>
      <c r="I35" s="22">
        <f t="shared" si="2"/>
        <v>46014</v>
      </c>
      <c r="J35" s="26">
        <f t="shared" si="3"/>
        <v>46015</v>
      </c>
    </row>
    <row r="36" spans="1:10" ht="18.75" customHeight="1">
      <c r="A36" s="31"/>
      <c r="B36" s="17"/>
      <c r="C36" s="18" t="s">
        <v>48</v>
      </c>
      <c r="D36" s="18" t="s">
        <v>75</v>
      </c>
      <c r="E36" s="19" t="s">
        <v>92</v>
      </c>
      <c r="F36" s="19" t="s">
        <v>94</v>
      </c>
      <c r="G36" s="19" t="s">
        <v>163</v>
      </c>
      <c r="H36" s="19">
        <v>1</v>
      </c>
      <c r="I36" s="22">
        <f t="shared" si="2"/>
        <v>46016</v>
      </c>
      <c r="J36" s="26">
        <f t="shared" si="3"/>
        <v>46017</v>
      </c>
    </row>
    <row r="37" spans="1:10" ht="18.75" customHeight="1">
      <c r="A37" s="31"/>
      <c r="B37" s="17"/>
      <c r="C37" s="18" t="s">
        <v>48</v>
      </c>
      <c r="D37" s="18" t="s">
        <v>75</v>
      </c>
      <c r="E37" s="19" t="s">
        <v>93</v>
      </c>
      <c r="F37" s="19" t="s">
        <v>94</v>
      </c>
      <c r="G37" s="19" t="s">
        <v>163</v>
      </c>
      <c r="H37" s="19">
        <v>1</v>
      </c>
      <c r="I37" s="22">
        <f t="shared" si="2"/>
        <v>46018</v>
      </c>
      <c r="J37" s="26">
        <f t="shared" si="3"/>
        <v>46020</v>
      </c>
    </row>
    <row r="38" spans="1:10" ht="18.75" customHeight="1">
      <c r="A38" s="31"/>
      <c r="B38" s="17"/>
      <c r="C38" s="18" t="s">
        <v>48</v>
      </c>
      <c r="D38" s="18" t="s">
        <v>75</v>
      </c>
      <c r="E38" s="19" t="s">
        <v>152</v>
      </c>
      <c r="F38" s="19" t="s">
        <v>94</v>
      </c>
      <c r="G38" s="19" t="s">
        <v>163</v>
      </c>
      <c r="H38" s="19">
        <v>2</v>
      </c>
      <c r="I38" s="22">
        <f t="shared" si="2"/>
        <v>46021</v>
      </c>
      <c r="J38" s="26">
        <f t="shared" si="3"/>
        <v>46023</v>
      </c>
    </row>
    <row r="39" spans="1:10" ht="18.75" customHeight="1">
      <c r="A39" s="31"/>
      <c r="B39" s="17"/>
      <c r="C39" s="18" t="s">
        <v>48</v>
      </c>
      <c r="D39" s="18" t="s">
        <v>75</v>
      </c>
      <c r="E39" s="19" t="s">
        <v>153</v>
      </c>
      <c r="F39" s="19" t="s">
        <v>94</v>
      </c>
      <c r="G39" s="19" t="s">
        <v>163</v>
      </c>
      <c r="H39" s="19">
        <v>2</v>
      </c>
      <c r="I39" s="22">
        <f t="shared" si="2"/>
        <v>46024</v>
      </c>
      <c r="J39" s="26">
        <f t="shared" si="3"/>
        <v>46027</v>
      </c>
    </row>
    <row r="40" spans="1:10" ht="18.75" customHeight="1">
      <c r="A40" s="31"/>
      <c r="B40" s="17"/>
      <c r="C40" s="18" t="s">
        <v>48</v>
      </c>
      <c r="D40" s="18" t="s">
        <v>75</v>
      </c>
      <c r="E40" s="19" t="s">
        <v>154</v>
      </c>
      <c r="F40" s="19" t="s">
        <v>94</v>
      </c>
      <c r="G40" s="19" t="s">
        <v>163</v>
      </c>
      <c r="H40" s="19">
        <v>2</v>
      </c>
      <c r="I40" s="22">
        <f t="shared" si="2"/>
        <v>46028</v>
      </c>
      <c r="J40" s="26">
        <f t="shared" si="3"/>
        <v>46030</v>
      </c>
    </row>
    <row r="41" spans="1:10" ht="18.75" customHeight="1">
      <c r="A41" s="31"/>
      <c r="B41" s="17"/>
      <c r="C41" s="18" t="s">
        <v>48</v>
      </c>
      <c r="D41" s="18" t="s">
        <v>75</v>
      </c>
      <c r="E41" s="19" t="s">
        <v>155</v>
      </c>
      <c r="F41" s="19" t="s">
        <v>94</v>
      </c>
      <c r="G41" s="19" t="s">
        <v>163</v>
      </c>
      <c r="H41" s="19">
        <v>1</v>
      </c>
      <c r="I41" s="22">
        <f t="shared" si="2"/>
        <v>46031</v>
      </c>
      <c r="J41" s="26">
        <f t="shared" si="3"/>
        <v>46032</v>
      </c>
    </row>
    <row r="42" spans="1:10" ht="15">
      <c r="A42" s="31"/>
      <c r="B42" s="17"/>
      <c r="C42" s="20" t="s">
        <v>48</v>
      </c>
      <c r="D42" s="20" t="s">
        <v>95</v>
      </c>
      <c r="E42" s="21" t="s">
        <v>97</v>
      </c>
      <c r="F42" s="21" t="s">
        <v>105</v>
      </c>
      <c r="G42" s="21" t="s">
        <v>163</v>
      </c>
      <c r="H42" s="21">
        <v>0.25</v>
      </c>
      <c r="I42" s="22">
        <f t="shared" si="2"/>
        <v>46034</v>
      </c>
      <c r="J42" s="26">
        <f t="shared" si="3"/>
        <v>46034.25</v>
      </c>
    </row>
    <row r="43" spans="1:10" ht="15">
      <c r="A43" s="31"/>
      <c r="B43" s="17"/>
      <c r="C43" s="20" t="s">
        <v>48</v>
      </c>
      <c r="D43" s="20" t="s">
        <v>95</v>
      </c>
      <c r="E43" s="21" t="s">
        <v>98</v>
      </c>
      <c r="F43" s="21" t="s">
        <v>105</v>
      </c>
      <c r="G43" s="21" t="s">
        <v>163</v>
      </c>
      <c r="H43" s="21">
        <v>0.25</v>
      </c>
      <c r="I43" s="22">
        <f t="shared" si="2"/>
        <v>46035.25</v>
      </c>
      <c r="J43" s="26">
        <f t="shared" si="3"/>
        <v>46035.5</v>
      </c>
    </row>
    <row r="44" spans="1:10" ht="15">
      <c r="A44" s="31"/>
      <c r="B44" s="17"/>
      <c r="C44" s="20" t="s">
        <v>48</v>
      </c>
      <c r="D44" s="20" t="s">
        <v>95</v>
      </c>
      <c r="E44" s="21" t="s">
        <v>99</v>
      </c>
      <c r="F44" s="21" t="s">
        <v>105</v>
      </c>
      <c r="G44" s="21" t="s">
        <v>163</v>
      </c>
      <c r="H44" s="21">
        <v>0.25</v>
      </c>
      <c r="I44" s="22">
        <f t="shared" si="2"/>
        <v>46036.5</v>
      </c>
      <c r="J44" s="26">
        <f t="shared" si="3"/>
        <v>46036.75</v>
      </c>
    </row>
    <row r="45" spans="1:10" ht="15">
      <c r="A45" s="31"/>
      <c r="B45" s="17"/>
      <c r="C45" s="20" t="s">
        <v>48</v>
      </c>
      <c r="D45" s="20" t="s">
        <v>95</v>
      </c>
      <c r="E45" s="21" t="s">
        <v>100</v>
      </c>
      <c r="F45" s="21" t="s">
        <v>105</v>
      </c>
      <c r="G45" s="21" t="s">
        <v>163</v>
      </c>
      <c r="H45" s="21">
        <v>0.25</v>
      </c>
      <c r="I45" s="22">
        <f t="shared" si="2"/>
        <v>46037.75</v>
      </c>
      <c r="J45" s="26">
        <f t="shared" si="3"/>
        <v>46038</v>
      </c>
    </row>
    <row r="46" spans="1:10" ht="15">
      <c r="A46" s="31"/>
      <c r="B46" s="17"/>
      <c r="C46" s="20" t="s">
        <v>48</v>
      </c>
      <c r="D46" s="20" t="s">
        <v>95</v>
      </c>
      <c r="E46" s="21" t="s">
        <v>101</v>
      </c>
      <c r="F46" s="21" t="s">
        <v>105</v>
      </c>
      <c r="G46" s="21" t="s">
        <v>163</v>
      </c>
      <c r="H46" s="21">
        <v>0.25</v>
      </c>
      <c r="I46" s="22">
        <f t="shared" si="2"/>
        <v>46039</v>
      </c>
      <c r="J46" s="26">
        <f t="shared" si="3"/>
        <v>46039.25</v>
      </c>
    </row>
    <row r="47" spans="1:10" ht="15">
      <c r="A47" s="31"/>
      <c r="B47" s="17"/>
      <c r="C47" s="20" t="s">
        <v>48</v>
      </c>
      <c r="D47" s="20" t="s">
        <v>95</v>
      </c>
      <c r="E47" s="21" t="s">
        <v>102</v>
      </c>
      <c r="F47" s="21" t="s">
        <v>105</v>
      </c>
      <c r="G47" s="21" t="s">
        <v>163</v>
      </c>
      <c r="H47" s="21">
        <v>0.25</v>
      </c>
      <c r="I47" s="22">
        <f t="shared" si="2"/>
        <v>46041.25</v>
      </c>
      <c r="J47" s="26">
        <f t="shared" si="3"/>
        <v>46041.5</v>
      </c>
    </row>
    <row r="48" spans="1:10" ht="30">
      <c r="A48" s="31"/>
      <c r="B48" s="17"/>
      <c r="C48" s="18" t="s">
        <v>48</v>
      </c>
      <c r="D48" s="18" t="s">
        <v>96</v>
      </c>
      <c r="E48" s="19" t="s">
        <v>103</v>
      </c>
      <c r="F48" s="19" t="s">
        <v>104</v>
      </c>
      <c r="G48" s="19" t="s">
        <v>163</v>
      </c>
      <c r="H48" s="19">
        <v>0.25</v>
      </c>
      <c r="I48" s="22">
        <f t="shared" si="2"/>
        <v>46042.5</v>
      </c>
      <c r="J48" s="26">
        <f t="shared" si="3"/>
        <v>46042.75</v>
      </c>
    </row>
    <row r="49" spans="1:10" ht="30">
      <c r="A49" s="31"/>
      <c r="B49" s="17"/>
      <c r="C49" s="18" t="s">
        <v>48</v>
      </c>
      <c r="D49" s="18" t="s">
        <v>96</v>
      </c>
      <c r="E49" s="19" t="s">
        <v>70</v>
      </c>
      <c r="F49" s="19" t="s">
        <v>104</v>
      </c>
      <c r="G49" s="19" t="s">
        <v>163</v>
      </c>
      <c r="H49" s="19">
        <v>0.25</v>
      </c>
      <c r="I49" s="22">
        <f t="shared" si="2"/>
        <v>46043.75</v>
      </c>
      <c r="J49" s="26">
        <f t="shared" si="3"/>
        <v>46044</v>
      </c>
    </row>
    <row r="50" spans="1:10" ht="30">
      <c r="A50" s="31"/>
      <c r="B50" s="17"/>
      <c r="C50" s="18" t="s">
        <v>48</v>
      </c>
      <c r="D50" s="18" t="s">
        <v>96</v>
      </c>
      <c r="E50" s="19" t="s">
        <v>71</v>
      </c>
      <c r="F50" s="19" t="s">
        <v>104</v>
      </c>
      <c r="G50" s="19" t="s">
        <v>163</v>
      </c>
      <c r="H50" s="19">
        <v>1</v>
      </c>
      <c r="I50" s="22">
        <f t="shared" si="2"/>
        <v>46045</v>
      </c>
      <c r="J50" s="26">
        <f t="shared" si="3"/>
        <v>46046</v>
      </c>
    </row>
    <row r="51" spans="1:10" ht="15">
      <c r="A51" s="31">
        <v>3</v>
      </c>
      <c r="B51" s="17"/>
      <c r="C51" s="32" t="s">
        <v>106</v>
      </c>
      <c r="D51" s="32" t="s">
        <v>66</v>
      </c>
      <c r="E51" s="33" t="s">
        <v>106</v>
      </c>
      <c r="F51" s="33" t="s">
        <v>67</v>
      </c>
      <c r="G51" s="33" t="s">
        <v>162</v>
      </c>
      <c r="H51" s="33">
        <v>1</v>
      </c>
      <c r="I51" s="34">
        <f t="shared" si="2"/>
        <v>46048</v>
      </c>
      <c r="J51" s="35">
        <f t="shared" si="3"/>
        <v>46049</v>
      </c>
    </row>
    <row r="52" spans="1:10" ht="15">
      <c r="A52" s="31"/>
      <c r="B52" s="17"/>
      <c r="C52" s="20" t="s">
        <v>106</v>
      </c>
      <c r="D52" s="20" t="s">
        <v>66</v>
      </c>
      <c r="E52" s="21" t="s">
        <v>159</v>
      </c>
      <c r="F52" s="21" t="s">
        <v>67</v>
      </c>
      <c r="G52" s="21" t="s">
        <v>162</v>
      </c>
      <c r="H52" s="21">
        <v>1</v>
      </c>
      <c r="I52" s="22">
        <f t="shared" si="2"/>
        <v>46050</v>
      </c>
      <c r="J52" s="26">
        <f t="shared" si="3"/>
        <v>46051</v>
      </c>
    </row>
    <row r="53" spans="1:10" ht="15">
      <c r="A53" s="31"/>
      <c r="B53" s="17"/>
      <c r="C53" s="18" t="s">
        <v>106</v>
      </c>
      <c r="D53" s="18" t="s">
        <v>74</v>
      </c>
      <c r="E53" s="19" t="s">
        <v>107</v>
      </c>
      <c r="F53" s="19" t="s">
        <v>68</v>
      </c>
      <c r="G53" s="19" t="s">
        <v>162</v>
      </c>
      <c r="H53" s="19">
        <v>1</v>
      </c>
      <c r="I53" s="22">
        <f t="shared" si="2"/>
        <v>46052</v>
      </c>
      <c r="J53" s="26">
        <f t="shared" si="3"/>
        <v>46053</v>
      </c>
    </row>
    <row r="54" spans="1:10" ht="15">
      <c r="A54" s="31"/>
      <c r="B54" s="17"/>
      <c r="C54" s="18" t="s">
        <v>106</v>
      </c>
      <c r="D54" s="18" t="s">
        <v>74</v>
      </c>
      <c r="E54" s="19" t="s">
        <v>156</v>
      </c>
      <c r="F54" s="19" t="s">
        <v>68</v>
      </c>
      <c r="G54" s="19" t="s">
        <v>162</v>
      </c>
      <c r="H54" s="19">
        <v>1</v>
      </c>
      <c r="I54" s="22">
        <f t="shared" si="2"/>
        <v>46055</v>
      </c>
      <c r="J54" s="26">
        <f t="shared" si="3"/>
        <v>46056</v>
      </c>
    </row>
    <row r="55" spans="1:10" ht="15">
      <c r="A55" s="31"/>
      <c r="B55" s="17"/>
      <c r="C55" s="18" t="s">
        <v>106</v>
      </c>
      <c r="D55" s="18" t="s">
        <v>74</v>
      </c>
      <c r="E55" s="19" t="s">
        <v>108</v>
      </c>
      <c r="F55" s="19" t="s">
        <v>11</v>
      </c>
      <c r="G55" s="19" t="s">
        <v>162</v>
      </c>
      <c r="H55" s="19">
        <v>0.25</v>
      </c>
      <c r="I55" s="22">
        <f t="shared" si="2"/>
        <v>46057</v>
      </c>
      <c r="J55" s="26">
        <f t="shared" si="3"/>
        <v>46057.25</v>
      </c>
    </row>
    <row r="56" spans="1:10" ht="15">
      <c r="A56" s="31"/>
      <c r="B56" s="17"/>
      <c r="C56" s="18" t="s">
        <v>106</v>
      </c>
      <c r="D56" s="18" t="s">
        <v>74</v>
      </c>
      <c r="E56" s="19" t="s">
        <v>160</v>
      </c>
      <c r="F56" s="19" t="s">
        <v>11</v>
      </c>
      <c r="G56" s="19" t="s">
        <v>162</v>
      </c>
      <c r="H56" s="19">
        <v>0.25</v>
      </c>
      <c r="I56" s="22">
        <f t="shared" si="2"/>
        <v>46058.25</v>
      </c>
      <c r="J56" s="26">
        <f t="shared" si="3"/>
        <v>46058.5</v>
      </c>
    </row>
    <row r="57" spans="1:10" ht="30">
      <c r="A57" s="31"/>
      <c r="B57" s="17"/>
      <c r="C57" s="20" t="s">
        <v>106</v>
      </c>
      <c r="D57" s="20" t="s">
        <v>75</v>
      </c>
      <c r="E57" s="21" t="s">
        <v>107</v>
      </c>
      <c r="F57" s="21" t="s">
        <v>91</v>
      </c>
      <c r="G57" s="21" t="s">
        <v>162</v>
      </c>
      <c r="H57" s="21">
        <v>0.5</v>
      </c>
      <c r="I57" s="22">
        <f t="shared" si="2"/>
        <v>46059.5</v>
      </c>
      <c r="J57" s="26">
        <f t="shared" si="3"/>
        <v>46060</v>
      </c>
    </row>
    <row r="58" spans="1:10" ht="30">
      <c r="A58" s="31"/>
      <c r="B58" s="17"/>
      <c r="C58" s="20" t="s">
        <v>106</v>
      </c>
      <c r="D58" s="20" t="s">
        <v>75</v>
      </c>
      <c r="E58" s="21" t="s">
        <v>156</v>
      </c>
      <c r="F58" s="21" t="s">
        <v>91</v>
      </c>
      <c r="G58" s="21" t="s">
        <v>162</v>
      </c>
      <c r="H58" s="21">
        <v>0.5</v>
      </c>
      <c r="I58" s="22">
        <f t="shared" si="2"/>
        <v>46062</v>
      </c>
      <c r="J58" s="26">
        <f t="shared" si="3"/>
        <v>46062.5</v>
      </c>
    </row>
    <row r="59" spans="1:10" ht="30">
      <c r="A59" s="31"/>
      <c r="B59" s="17"/>
      <c r="C59" s="20" t="s">
        <v>106</v>
      </c>
      <c r="D59" s="20" t="s">
        <v>75</v>
      </c>
      <c r="E59" s="21" t="s">
        <v>109</v>
      </c>
      <c r="F59" s="21" t="s">
        <v>12</v>
      </c>
      <c r="G59" s="21" t="s">
        <v>163</v>
      </c>
      <c r="H59" s="21">
        <v>1</v>
      </c>
      <c r="I59" s="22">
        <f t="shared" si="2"/>
        <v>46063.5</v>
      </c>
      <c r="J59" s="26">
        <f t="shared" si="3"/>
        <v>46064.5</v>
      </c>
    </row>
    <row r="60" spans="1:10" ht="30">
      <c r="A60" s="31"/>
      <c r="B60" s="17"/>
      <c r="C60" s="20" t="s">
        <v>106</v>
      </c>
      <c r="D60" s="20" t="s">
        <v>75</v>
      </c>
      <c r="E60" s="21" t="s">
        <v>157</v>
      </c>
      <c r="F60" s="21" t="s">
        <v>12</v>
      </c>
      <c r="G60" s="21" t="s">
        <v>164</v>
      </c>
      <c r="H60" s="21">
        <v>1</v>
      </c>
      <c r="I60" s="22">
        <f t="shared" si="2"/>
        <v>46065.5</v>
      </c>
      <c r="J60" s="26">
        <f t="shared" si="3"/>
        <v>46066.5</v>
      </c>
    </row>
    <row r="61" spans="1:10" ht="30">
      <c r="A61" s="31"/>
      <c r="B61" s="17"/>
      <c r="C61" s="20" t="s">
        <v>106</v>
      </c>
      <c r="D61" s="20" t="s">
        <v>75</v>
      </c>
      <c r="E61" s="21" t="s">
        <v>110</v>
      </c>
      <c r="F61" s="21" t="s">
        <v>94</v>
      </c>
      <c r="G61" s="21" t="s">
        <v>163</v>
      </c>
      <c r="H61" s="21">
        <v>3</v>
      </c>
      <c r="I61" s="22">
        <f t="shared" si="2"/>
        <v>46067.5</v>
      </c>
      <c r="J61" s="26">
        <f t="shared" si="3"/>
        <v>46070.5</v>
      </c>
    </row>
    <row r="62" spans="1:10" ht="30">
      <c r="A62" s="31"/>
      <c r="B62" s="17"/>
      <c r="C62" s="20" t="s">
        <v>106</v>
      </c>
      <c r="D62" s="20" t="s">
        <v>75</v>
      </c>
      <c r="E62" s="21" t="s">
        <v>158</v>
      </c>
      <c r="F62" s="21" t="s">
        <v>94</v>
      </c>
      <c r="G62" s="21" t="s">
        <v>164</v>
      </c>
      <c r="H62" s="21">
        <v>2</v>
      </c>
      <c r="I62" s="22">
        <f t="shared" si="2"/>
        <v>46071.5</v>
      </c>
      <c r="J62" s="26">
        <f t="shared" si="3"/>
        <v>46073.5</v>
      </c>
    </row>
    <row r="63" spans="1:10" ht="15">
      <c r="A63" s="31"/>
      <c r="B63" s="17"/>
      <c r="C63" s="18" t="s">
        <v>106</v>
      </c>
      <c r="D63" s="18" t="s">
        <v>95</v>
      </c>
      <c r="E63" s="19" t="s">
        <v>106</v>
      </c>
      <c r="F63" s="19" t="s">
        <v>105</v>
      </c>
      <c r="G63" s="19" t="s">
        <v>163</v>
      </c>
      <c r="H63" s="19">
        <v>0.5</v>
      </c>
      <c r="I63" s="22">
        <f t="shared" si="2"/>
        <v>46074.5</v>
      </c>
      <c r="J63" s="26">
        <f t="shared" si="3"/>
        <v>46076</v>
      </c>
    </row>
    <row r="64" spans="1:10" ht="15">
      <c r="A64" s="31"/>
      <c r="B64" s="17"/>
      <c r="C64" s="18" t="s">
        <v>106</v>
      </c>
      <c r="D64" s="18" t="s">
        <v>95</v>
      </c>
      <c r="E64" s="19" t="s">
        <v>159</v>
      </c>
      <c r="F64" s="19" t="s">
        <v>105</v>
      </c>
      <c r="G64" s="19" t="s">
        <v>164</v>
      </c>
      <c r="H64" s="19">
        <v>0.5</v>
      </c>
      <c r="I64" s="22">
        <f t="shared" si="2"/>
        <v>46077</v>
      </c>
      <c r="J64" s="26">
        <f t="shared" si="3"/>
        <v>46077.5</v>
      </c>
    </row>
    <row r="65" spans="1:10" ht="30">
      <c r="A65" s="31"/>
      <c r="B65" s="17"/>
      <c r="C65" s="20" t="s">
        <v>106</v>
      </c>
      <c r="D65" s="20" t="s">
        <v>96</v>
      </c>
      <c r="E65" s="21" t="s">
        <v>106</v>
      </c>
      <c r="F65" s="21" t="s">
        <v>104</v>
      </c>
      <c r="G65" s="21" t="s">
        <v>164</v>
      </c>
      <c r="H65" s="21">
        <v>0.25</v>
      </c>
      <c r="I65" s="22">
        <f t="shared" si="2"/>
        <v>46078.5</v>
      </c>
      <c r="J65" s="26">
        <f t="shared" si="3"/>
        <v>46078.75</v>
      </c>
    </row>
    <row r="66" spans="1:10" ht="30">
      <c r="A66" s="31"/>
      <c r="B66" s="17"/>
      <c r="C66" s="20" t="s">
        <v>106</v>
      </c>
      <c r="D66" s="20" t="s">
        <v>96</v>
      </c>
      <c r="E66" s="21" t="s">
        <v>159</v>
      </c>
      <c r="F66" s="21" t="s">
        <v>104</v>
      </c>
      <c r="G66" s="21" t="s">
        <v>164</v>
      </c>
      <c r="H66" s="21">
        <v>0.25</v>
      </c>
      <c r="I66" s="22">
        <f t="shared" si="2"/>
        <v>46079.75</v>
      </c>
      <c r="J66" s="26">
        <f t="shared" si="3"/>
        <v>46080</v>
      </c>
    </row>
    <row r="67" spans="1:10" ht="30">
      <c r="A67" s="31">
        <v>3</v>
      </c>
      <c r="B67" s="17"/>
      <c r="C67" s="32" t="s">
        <v>111</v>
      </c>
      <c r="D67" s="32" t="s">
        <v>66</v>
      </c>
      <c r="E67" s="33" t="s">
        <v>13</v>
      </c>
      <c r="F67" s="33" t="s">
        <v>67</v>
      </c>
      <c r="G67" s="33" t="s">
        <v>165</v>
      </c>
      <c r="H67" s="33">
        <v>1</v>
      </c>
      <c r="I67" s="34">
        <f>IF(WEEKDAY(J50+1,2)=7, J50+2, J50+1)</f>
        <v>46048</v>
      </c>
      <c r="J67" s="35">
        <f t="shared" si="3"/>
        <v>46049</v>
      </c>
    </row>
    <row r="68" spans="1:10" ht="19.5" customHeight="1">
      <c r="A68" s="31"/>
      <c r="B68" s="17"/>
      <c r="C68" s="18" t="s">
        <v>111</v>
      </c>
      <c r="D68" s="18" t="s">
        <v>66</v>
      </c>
      <c r="E68" s="19" t="s">
        <v>14</v>
      </c>
      <c r="F68" s="19" t="s">
        <v>67</v>
      </c>
      <c r="G68" s="19" t="s">
        <v>165</v>
      </c>
      <c r="H68" s="19">
        <v>1</v>
      </c>
      <c r="I68" s="22">
        <f t="shared" si="2"/>
        <v>46050</v>
      </c>
      <c r="J68" s="25">
        <f t="shared" si="3"/>
        <v>46051</v>
      </c>
    </row>
    <row r="69" spans="1:10" ht="26.25" customHeight="1">
      <c r="A69" s="31"/>
      <c r="B69" s="17"/>
      <c r="C69" s="36" t="s">
        <v>111</v>
      </c>
      <c r="D69" s="36" t="s">
        <v>74</v>
      </c>
      <c r="E69" s="37" t="s">
        <v>113</v>
      </c>
      <c r="F69" s="38" t="s">
        <v>68</v>
      </c>
      <c r="G69" s="38" t="s">
        <v>165</v>
      </c>
      <c r="H69" s="38">
        <v>0.5</v>
      </c>
      <c r="I69" s="39">
        <f t="shared" si="2"/>
        <v>46052</v>
      </c>
      <c r="J69" s="40">
        <f t="shared" si="3"/>
        <v>46052.5</v>
      </c>
    </row>
    <row r="70" spans="1:10" ht="26.25" customHeight="1">
      <c r="A70" s="31"/>
      <c r="B70" s="17"/>
      <c r="C70" s="36" t="s">
        <v>111</v>
      </c>
      <c r="D70" s="36" t="s">
        <v>74</v>
      </c>
      <c r="E70" s="37" t="s">
        <v>114</v>
      </c>
      <c r="F70" s="38" t="s">
        <v>68</v>
      </c>
      <c r="G70" s="38" t="s">
        <v>165</v>
      </c>
      <c r="H70" s="38">
        <v>0.5</v>
      </c>
      <c r="I70" s="39">
        <f t="shared" si="2"/>
        <v>46053.5</v>
      </c>
      <c r="J70" s="40">
        <f t="shared" si="3"/>
        <v>46055</v>
      </c>
    </row>
    <row r="71" spans="1:10" ht="30">
      <c r="A71" s="31"/>
      <c r="B71" s="17"/>
      <c r="C71" s="36" t="s">
        <v>111</v>
      </c>
      <c r="D71" s="36" t="s">
        <v>74</v>
      </c>
      <c r="E71" s="38" t="s">
        <v>112</v>
      </c>
      <c r="F71" s="38" t="s">
        <v>116</v>
      </c>
      <c r="G71" s="38" t="s">
        <v>165</v>
      </c>
      <c r="H71" s="38">
        <v>0.25</v>
      </c>
      <c r="I71" s="39">
        <f t="shared" si="2"/>
        <v>46056</v>
      </c>
      <c r="J71" s="40">
        <f t="shared" si="3"/>
        <v>46056.25</v>
      </c>
    </row>
    <row r="72" spans="1:10" ht="30">
      <c r="A72" s="31"/>
      <c r="B72" s="17"/>
      <c r="C72" s="36" t="s">
        <v>111</v>
      </c>
      <c r="D72" s="36" t="s">
        <v>74</v>
      </c>
      <c r="E72" s="38" t="s">
        <v>115</v>
      </c>
      <c r="F72" s="38" t="s">
        <v>116</v>
      </c>
      <c r="G72" s="38" t="s">
        <v>165</v>
      </c>
      <c r="H72" s="38">
        <v>0.25</v>
      </c>
      <c r="I72" s="39">
        <f t="shared" ref="I72:I82" si="4">IF(WEEKDAY(J71+1,2)=7, J71+2, J71+1)</f>
        <v>46057.25</v>
      </c>
      <c r="J72" s="40">
        <f t="shared" ref="J72:J82" si="5">IF(WEEKDAY(I72+H72,2)=7, I72+H72+1, I72+H72)</f>
        <v>46057.5</v>
      </c>
    </row>
    <row r="73" spans="1:10" ht="30">
      <c r="A73" s="31"/>
      <c r="B73" s="17"/>
      <c r="C73" s="41" t="s">
        <v>111</v>
      </c>
      <c r="D73" s="41" t="s">
        <v>75</v>
      </c>
      <c r="E73" s="42" t="s">
        <v>113</v>
      </c>
      <c r="F73" s="43" t="s">
        <v>91</v>
      </c>
      <c r="G73" s="43" t="s">
        <v>165</v>
      </c>
      <c r="H73" s="43">
        <v>1.5</v>
      </c>
      <c r="I73" s="23">
        <f t="shared" si="4"/>
        <v>46058.5</v>
      </c>
      <c r="J73" s="44">
        <f t="shared" si="5"/>
        <v>46060</v>
      </c>
    </row>
    <row r="74" spans="1:10" ht="30">
      <c r="A74" s="31"/>
      <c r="B74" s="17"/>
      <c r="C74" s="41" t="s">
        <v>111</v>
      </c>
      <c r="D74" s="41" t="s">
        <v>75</v>
      </c>
      <c r="E74" s="42" t="s">
        <v>114</v>
      </c>
      <c r="F74" s="43" t="s">
        <v>91</v>
      </c>
      <c r="G74" s="43" t="s">
        <v>165</v>
      </c>
      <c r="H74" s="43">
        <v>1.5</v>
      </c>
      <c r="I74" s="23">
        <f t="shared" si="4"/>
        <v>46062</v>
      </c>
      <c r="J74" s="44">
        <f t="shared" si="5"/>
        <v>46063.5</v>
      </c>
    </row>
    <row r="75" spans="1:10" ht="30">
      <c r="A75" s="31"/>
      <c r="B75" s="17"/>
      <c r="C75" s="41" t="s">
        <v>111</v>
      </c>
      <c r="D75" s="41" t="s">
        <v>75</v>
      </c>
      <c r="E75" s="42" t="s">
        <v>117</v>
      </c>
      <c r="F75" s="43" t="s">
        <v>12</v>
      </c>
      <c r="G75" s="43" t="s">
        <v>165</v>
      </c>
      <c r="H75" s="43">
        <v>0.5</v>
      </c>
      <c r="I75" s="23">
        <f t="shared" si="4"/>
        <v>46064.5</v>
      </c>
      <c r="J75" s="44">
        <f t="shared" si="5"/>
        <v>46065</v>
      </c>
    </row>
    <row r="76" spans="1:10" ht="30">
      <c r="A76" s="31"/>
      <c r="B76" s="17"/>
      <c r="C76" s="41" t="s">
        <v>111</v>
      </c>
      <c r="D76" s="41" t="s">
        <v>75</v>
      </c>
      <c r="E76" s="42" t="s">
        <v>118</v>
      </c>
      <c r="F76" s="43" t="s">
        <v>12</v>
      </c>
      <c r="G76" s="43" t="s">
        <v>165</v>
      </c>
      <c r="H76" s="43">
        <v>0.5</v>
      </c>
      <c r="I76" s="23">
        <f t="shared" si="4"/>
        <v>46066</v>
      </c>
      <c r="J76" s="44">
        <f t="shared" si="5"/>
        <v>46066.5</v>
      </c>
    </row>
    <row r="77" spans="1:10" ht="30">
      <c r="A77" s="31"/>
      <c r="B77" s="17"/>
      <c r="C77" s="41" t="s">
        <v>111</v>
      </c>
      <c r="D77" s="41" t="s">
        <v>75</v>
      </c>
      <c r="E77" s="43" t="s">
        <v>119</v>
      </c>
      <c r="F77" s="43" t="s">
        <v>94</v>
      </c>
      <c r="G77" s="43" t="s">
        <v>163</v>
      </c>
      <c r="H77" s="43">
        <v>1</v>
      </c>
      <c r="I77" s="23">
        <f t="shared" si="4"/>
        <v>46067.5</v>
      </c>
      <c r="J77" s="44">
        <f t="shared" si="5"/>
        <v>46069.5</v>
      </c>
    </row>
    <row r="78" spans="1:10" ht="30">
      <c r="A78" s="31"/>
      <c r="B78" s="17"/>
      <c r="C78" s="41" t="s">
        <v>111</v>
      </c>
      <c r="D78" s="41" t="s">
        <v>75</v>
      </c>
      <c r="E78" s="43" t="s">
        <v>120</v>
      </c>
      <c r="F78" s="43" t="s">
        <v>94</v>
      </c>
      <c r="G78" s="43" t="s">
        <v>163</v>
      </c>
      <c r="H78" s="43">
        <v>1</v>
      </c>
      <c r="I78" s="23">
        <f t="shared" si="4"/>
        <v>46070.5</v>
      </c>
      <c r="J78" s="44">
        <f t="shared" si="5"/>
        <v>46071.5</v>
      </c>
    </row>
    <row r="79" spans="1:10" ht="30">
      <c r="A79" s="31"/>
      <c r="B79" s="17"/>
      <c r="C79" s="20" t="s">
        <v>111</v>
      </c>
      <c r="D79" s="20" t="s">
        <v>95</v>
      </c>
      <c r="E79" s="21" t="s">
        <v>121</v>
      </c>
      <c r="F79" s="21" t="s">
        <v>105</v>
      </c>
      <c r="G79" s="21" t="s">
        <v>163</v>
      </c>
      <c r="H79" s="21">
        <v>0.5</v>
      </c>
      <c r="I79" s="22">
        <f t="shared" si="4"/>
        <v>46072.5</v>
      </c>
      <c r="J79" s="25">
        <f t="shared" si="5"/>
        <v>46073</v>
      </c>
    </row>
    <row r="80" spans="1:10" ht="30">
      <c r="A80" s="31"/>
      <c r="B80" s="17"/>
      <c r="C80" s="20" t="s">
        <v>111</v>
      </c>
      <c r="D80" s="20" t="s">
        <v>95</v>
      </c>
      <c r="E80" s="21" t="s">
        <v>122</v>
      </c>
      <c r="F80" s="21" t="s">
        <v>105</v>
      </c>
      <c r="G80" s="21" t="s">
        <v>163</v>
      </c>
      <c r="H80" s="21">
        <v>0.5</v>
      </c>
      <c r="I80" s="22">
        <f t="shared" si="4"/>
        <v>46074</v>
      </c>
      <c r="J80" s="25">
        <f t="shared" si="5"/>
        <v>46074.5</v>
      </c>
    </row>
    <row r="81" spans="1:10" ht="30">
      <c r="A81" s="31"/>
      <c r="B81" s="17"/>
      <c r="C81" s="18" t="s">
        <v>111</v>
      </c>
      <c r="D81" s="18" t="s">
        <v>96</v>
      </c>
      <c r="E81" s="19" t="s">
        <v>121</v>
      </c>
      <c r="F81" s="19" t="s">
        <v>104</v>
      </c>
      <c r="G81" s="19" t="s">
        <v>165</v>
      </c>
      <c r="H81" s="19">
        <v>0.5</v>
      </c>
      <c r="I81" s="22">
        <f t="shared" si="4"/>
        <v>46076.5</v>
      </c>
      <c r="J81" s="25">
        <f t="shared" si="5"/>
        <v>46077</v>
      </c>
    </row>
    <row r="82" spans="1:10" ht="30">
      <c r="A82" s="31"/>
      <c r="B82" s="17"/>
      <c r="C82" s="18" t="s">
        <v>111</v>
      </c>
      <c r="D82" s="18" t="s">
        <v>96</v>
      </c>
      <c r="E82" s="19" t="s">
        <v>122</v>
      </c>
      <c r="F82" s="19" t="s">
        <v>104</v>
      </c>
      <c r="G82" s="19" t="s">
        <v>165</v>
      </c>
      <c r="H82" s="19">
        <v>0.5</v>
      </c>
      <c r="I82" s="22">
        <f t="shared" si="4"/>
        <v>46078</v>
      </c>
      <c r="J82" s="25">
        <f t="shared" si="5"/>
        <v>46078.5</v>
      </c>
    </row>
    <row r="83" spans="1:10" ht="15">
      <c r="A83" s="31">
        <v>4</v>
      </c>
      <c r="B83" s="17"/>
      <c r="C83" s="32" t="s">
        <v>123</v>
      </c>
      <c r="D83" s="33" t="s">
        <v>66</v>
      </c>
      <c r="E83" s="33" t="s">
        <v>124</v>
      </c>
      <c r="F83" s="33" t="s">
        <v>67</v>
      </c>
      <c r="G83" s="33" t="s">
        <v>165</v>
      </c>
      <c r="H83" s="33">
        <v>2</v>
      </c>
      <c r="I83" s="34">
        <f>IF(WEEKDAY(J82+1,2)=7, J82+2, J82+1)</f>
        <v>46079.5</v>
      </c>
      <c r="J83" s="35">
        <f>IF(WEEKDAY(I83+H83,2)=7, I83+H83+1, I83+H83)</f>
        <v>46081.5</v>
      </c>
    </row>
    <row r="84" spans="1:10" ht="15">
      <c r="A84" s="31"/>
      <c r="B84" s="17"/>
      <c r="C84" s="18" t="s">
        <v>123</v>
      </c>
      <c r="D84" s="18" t="s">
        <v>74</v>
      </c>
      <c r="E84" s="19" t="s">
        <v>125</v>
      </c>
      <c r="F84" s="19" t="s">
        <v>68</v>
      </c>
      <c r="G84" s="19" t="s">
        <v>165</v>
      </c>
      <c r="H84" s="19">
        <v>3</v>
      </c>
      <c r="I84" s="22">
        <f>IF(WEEKDAY(J83+1,2)=7, J83+2, J83+1)</f>
        <v>46083.5</v>
      </c>
      <c r="J84" s="25">
        <f t="shared" ref="J84:J94" si="6">IF(WEEKDAY(I84+H84,2)=7, I84+H84+1, I84+H84)</f>
        <v>46086.5</v>
      </c>
    </row>
    <row r="85" spans="1:10" ht="15">
      <c r="A85" s="31"/>
      <c r="B85" s="17"/>
      <c r="C85" s="18" t="s">
        <v>123</v>
      </c>
      <c r="D85" s="18" t="s">
        <v>74</v>
      </c>
      <c r="E85" s="19" t="s">
        <v>126</v>
      </c>
      <c r="F85" s="19" t="s">
        <v>116</v>
      </c>
      <c r="G85" s="19" t="s">
        <v>165</v>
      </c>
      <c r="H85" s="19">
        <v>1</v>
      </c>
      <c r="I85" s="22">
        <f t="shared" ref="I85:I94" si="7">IF(WEEKDAY(J84+1,2)=7, J84+2, J84+1)</f>
        <v>46087.5</v>
      </c>
      <c r="J85" s="25">
        <f t="shared" si="6"/>
        <v>46088.5</v>
      </c>
    </row>
    <row r="86" spans="1:10" ht="30">
      <c r="A86" s="31"/>
      <c r="B86" s="17"/>
      <c r="C86" s="20" t="s">
        <v>123</v>
      </c>
      <c r="D86" s="20" t="s">
        <v>75</v>
      </c>
      <c r="E86" s="21" t="s">
        <v>125</v>
      </c>
      <c r="F86" s="21" t="s">
        <v>91</v>
      </c>
      <c r="G86" s="21" t="s">
        <v>165</v>
      </c>
      <c r="H86" s="21">
        <v>3</v>
      </c>
      <c r="I86" s="22">
        <f t="shared" si="7"/>
        <v>46090.5</v>
      </c>
      <c r="J86" s="25">
        <f t="shared" si="6"/>
        <v>46093.5</v>
      </c>
    </row>
    <row r="87" spans="1:10" ht="30">
      <c r="A87" s="31"/>
      <c r="B87" s="17"/>
      <c r="C87" s="20" t="s">
        <v>123</v>
      </c>
      <c r="D87" s="20" t="s">
        <v>75</v>
      </c>
      <c r="E87" s="21" t="s">
        <v>127</v>
      </c>
      <c r="F87" s="21" t="s">
        <v>12</v>
      </c>
      <c r="G87" s="21" t="s">
        <v>163</v>
      </c>
      <c r="H87" s="21">
        <v>3</v>
      </c>
      <c r="I87" s="22">
        <f t="shared" si="7"/>
        <v>46094.5</v>
      </c>
      <c r="J87" s="25">
        <f t="shared" si="6"/>
        <v>46097.5</v>
      </c>
    </row>
    <row r="88" spans="1:10" ht="30">
      <c r="A88" s="31"/>
      <c r="B88" s="17"/>
      <c r="C88" s="20" t="s">
        <v>123</v>
      </c>
      <c r="D88" s="20" t="s">
        <v>75</v>
      </c>
      <c r="E88" s="21" t="s">
        <v>128</v>
      </c>
      <c r="F88" s="21" t="s">
        <v>12</v>
      </c>
      <c r="G88" s="21" t="s">
        <v>163</v>
      </c>
      <c r="H88" s="21">
        <v>3</v>
      </c>
      <c r="I88" s="22">
        <f t="shared" si="7"/>
        <v>46098.5</v>
      </c>
      <c r="J88" s="25">
        <f t="shared" si="6"/>
        <v>46101.5</v>
      </c>
    </row>
    <row r="89" spans="1:10" ht="30">
      <c r="A89" s="31"/>
      <c r="B89" s="17"/>
      <c r="C89" s="20" t="s">
        <v>123</v>
      </c>
      <c r="D89" s="20" t="s">
        <v>75</v>
      </c>
      <c r="E89" s="21" t="s">
        <v>129</v>
      </c>
      <c r="F89" s="21" t="s">
        <v>94</v>
      </c>
      <c r="G89" s="21" t="s">
        <v>163</v>
      </c>
      <c r="H89" s="21">
        <v>10</v>
      </c>
      <c r="I89" s="22">
        <f t="shared" si="7"/>
        <v>46102.5</v>
      </c>
      <c r="J89" s="25">
        <f t="shared" si="6"/>
        <v>46112.5</v>
      </c>
    </row>
    <row r="90" spans="1:10" ht="30">
      <c r="A90" s="31"/>
      <c r="B90" s="17"/>
      <c r="C90" s="20" t="s">
        <v>123</v>
      </c>
      <c r="D90" s="20" t="s">
        <v>75</v>
      </c>
      <c r="E90" s="21" t="s">
        <v>130</v>
      </c>
      <c r="F90" s="21" t="s">
        <v>94</v>
      </c>
      <c r="G90" s="21" t="s">
        <v>163</v>
      </c>
      <c r="H90" s="21">
        <v>5</v>
      </c>
      <c r="I90" s="22">
        <f t="shared" si="7"/>
        <v>46113.5</v>
      </c>
      <c r="J90" s="25">
        <f t="shared" si="6"/>
        <v>46118.5</v>
      </c>
    </row>
    <row r="91" spans="1:10" ht="15">
      <c r="A91" s="31"/>
      <c r="B91" s="17"/>
      <c r="C91" s="18" t="s">
        <v>123</v>
      </c>
      <c r="D91" s="18" t="s">
        <v>95</v>
      </c>
      <c r="E91" s="19" t="s">
        <v>131</v>
      </c>
      <c r="F91" s="19" t="s">
        <v>105</v>
      </c>
      <c r="G91" s="19" t="s">
        <v>165</v>
      </c>
      <c r="H91" s="19">
        <v>1</v>
      </c>
      <c r="I91" s="22">
        <f t="shared" si="7"/>
        <v>46119.5</v>
      </c>
      <c r="J91" s="25">
        <f t="shared" si="6"/>
        <v>46120.5</v>
      </c>
    </row>
    <row r="92" spans="1:10" ht="15">
      <c r="A92" s="31"/>
      <c r="B92" s="17"/>
      <c r="C92" s="18" t="s">
        <v>123</v>
      </c>
      <c r="D92" s="18" t="s">
        <v>95</v>
      </c>
      <c r="E92" s="19" t="s">
        <v>132</v>
      </c>
      <c r="F92" s="19" t="s">
        <v>105</v>
      </c>
      <c r="G92" s="19" t="s">
        <v>165</v>
      </c>
      <c r="H92" s="19">
        <v>1</v>
      </c>
      <c r="I92" s="22">
        <f t="shared" si="7"/>
        <v>46121.5</v>
      </c>
      <c r="J92" s="25">
        <f t="shared" si="6"/>
        <v>46122.5</v>
      </c>
    </row>
    <row r="93" spans="1:10" ht="30">
      <c r="A93" s="31"/>
      <c r="B93" s="17"/>
      <c r="C93" s="20" t="s">
        <v>123</v>
      </c>
      <c r="D93" s="20" t="s">
        <v>96</v>
      </c>
      <c r="E93" s="21" t="s">
        <v>131</v>
      </c>
      <c r="F93" s="21" t="s">
        <v>104</v>
      </c>
      <c r="G93" s="21" t="s">
        <v>165</v>
      </c>
      <c r="H93" s="21">
        <v>0.5</v>
      </c>
      <c r="I93" s="22">
        <f t="shared" si="7"/>
        <v>46123.5</v>
      </c>
      <c r="J93" s="25">
        <f t="shared" si="6"/>
        <v>46125</v>
      </c>
    </row>
    <row r="94" spans="1:10" ht="30">
      <c r="A94" s="31"/>
      <c r="B94" s="17"/>
      <c r="C94" s="20" t="s">
        <v>123</v>
      </c>
      <c r="D94" s="20" t="s">
        <v>96</v>
      </c>
      <c r="E94" s="21" t="s">
        <v>132</v>
      </c>
      <c r="F94" s="21" t="s">
        <v>104</v>
      </c>
      <c r="G94" s="21" t="s">
        <v>165</v>
      </c>
      <c r="H94" s="21">
        <v>0.5</v>
      </c>
      <c r="I94" s="22">
        <f t="shared" si="7"/>
        <v>46126</v>
      </c>
      <c r="J94" s="25">
        <f t="shared" si="6"/>
        <v>46126.5</v>
      </c>
    </row>
    <row r="95" spans="1:10" ht="30">
      <c r="A95" s="31">
        <v>4</v>
      </c>
      <c r="B95" s="17"/>
      <c r="C95" s="32" t="s">
        <v>134</v>
      </c>
      <c r="D95" s="33" t="s">
        <v>66</v>
      </c>
      <c r="E95" s="33" t="s">
        <v>135</v>
      </c>
      <c r="F95" s="33" t="s">
        <v>67</v>
      </c>
      <c r="G95" s="33" t="s">
        <v>162</v>
      </c>
      <c r="H95" s="33">
        <v>2</v>
      </c>
      <c r="I95" s="34">
        <f>IF(WEEKDAY(J82+1,2)=7, J82+2, J82+1)</f>
        <v>46079.5</v>
      </c>
      <c r="J95" s="35">
        <f>IF(WEEKDAY(I95+H95,2)=7, I95+H95+1, I95+H95)</f>
        <v>46081.5</v>
      </c>
    </row>
    <row r="96" spans="1:10" ht="30">
      <c r="A96" s="31"/>
      <c r="B96" s="17"/>
      <c r="C96" s="18" t="s">
        <v>134</v>
      </c>
      <c r="D96" s="19" t="s">
        <v>66</v>
      </c>
      <c r="E96" s="19" t="s">
        <v>136</v>
      </c>
      <c r="F96" s="19" t="s">
        <v>137</v>
      </c>
      <c r="G96" s="19" t="s">
        <v>162</v>
      </c>
      <c r="H96" s="19">
        <v>1</v>
      </c>
      <c r="I96" s="22">
        <f>IF(WEEKDAY(J95+1,2)=7, J95+2, J95+1)</f>
        <v>46083.5</v>
      </c>
      <c r="J96" s="26">
        <f>IF(WEEKDAY(I96+H96,2)=7, I96+H96+1, I96+H96)</f>
        <v>46084.5</v>
      </c>
    </row>
    <row r="97" spans="1:10" ht="30">
      <c r="A97" s="31"/>
      <c r="B97" s="17"/>
      <c r="C97" s="20" t="s">
        <v>134</v>
      </c>
      <c r="D97" s="21" t="s">
        <v>74</v>
      </c>
      <c r="E97" s="21" t="s">
        <v>138</v>
      </c>
      <c r="F97" s="21" t="s">
        <v>68</v>
      </c>
      <c r="G97" s="21" t="s">
        <v>162</v>
      </c>
      <c r="H97" s="21">
        <v>1</v>
      </c>
      <c r="I97" s="22">
        <f t="shared" ref="I97:I105" si="8">IF(WEEKDAY(J96+1,2)=7, J96+2, J96+1)</f>
        <v>46085.5</v>
      </c>
      <c r="J97" s="26">
        <f t="shared" ref="J97:J105" si="9">IF(WEEKDAY(I97+H97,2)=7, I97+H97+1, I97+H97)</f>
        <v>46086.5</v>
      </c>
    </row>
    <row r="98" spans="1:10" ht="30">
      <c r="A98" s="31"/>
      <c r="B98" s="17"/>
      <c r="C98" s="20" t="s">
        <v>134</v>
      </c>
      <c r="D98" s="21" t="s">
        <v>74</v>
      </c>
      <c r="E98" s="21" t="s">
        <v>139</v>
      </c>
      <c r="F98" s="21" t="s">
        <v>68</v>
      </c>
      <c r="G98" s="21" t="s">
        <v>162</v>
      </c>
      <c r="H98" s="21">
        <v>2</v>
      </c>
      <c r="I98" s="22">
        <f t="shared" si="8"/>
        <v>46087.5</v>
      </c>
      <c r="J98" s="26">
        <f t="shared" si="9"/>
        <v>46090.5</v>
      </c>
    </row>
    <row r="99" spans="1:10" ht="30">
      <c r="A99" s="31"/>
      <c r="B99" s="17"/>
      <c r="C99" s="20" t="s">
        <v>134</v>
      </c>
      <c r="D99" s="21" t="s">
        <v>74</v>
      </c>
      <c r="E99" s="21" t="s">
        <v>140</v>
      </c>
      <c r="F99" s="21" t="s">
        <v>116</v>
      </c>
      <c r="G99" s="21" t="s">
        <v>162</v>
      </c>
      <c r="H99" s="21">
        <v>2</v>
      </c>
      <c r="I99" s="22">
        <f t="shared" si="8"/>
        <v>46091.5</v>
      </c>
      <c r="J99" s="26">
        <f t="shared" si="9"/>
        <v>46093.5</v>
      </c>
    </row>
    <row r="100" spans="1:10" ht="30">
      <c r="A100" s="31"/>
      <c r="B100" s="17"/>
      <c r="C100" s="18" t="s">
        <v>134</v>
      </c>
      <c r="D100" s="19" t="s">
        <v>75</v>
      </c>
      <c r="E100" s="19" t="s">
        <v>138</v>
      </c>
      <c r="F100" s="19" t="s">
        <v>91</v>
      </c>
      <c r="G100" s="19" t="s">
        <v>162</v>
      </c>
      <c r="H100" s="19">
        <v>1</v>
      </c>
      <c r="I100" s="22">
        <f t="shared" si="8"/>
        <v>46094.5</v>
      </c>
      <c r="J100" s="26">
        <f t="shared" si="9"/>
        <v>46095.5</v>
      </c>
    </row>
    <row r="101" spans="1:10" ht="30">
      <c r="A101" s="31"/>
      <c r="B101" s="17"/>
      <c r="C101" s="18" t="s">
        <v>134</v>
      </c>
      <c r="D101" s="19" t="s">
        <v>75</v>
      </c>
      <c r="E101" s="19" t="s">
        <v>139</v>
      </c>
      <c r="F101" s="19" t="s">
        <v>91</v>
      </c>
      <c r="G101" s="19" t="s">
        <v>164</v>
      </c>
      <c r="H101" s="19">
        <v>3</v>
      </c>
      <c r="I101" s="22">
        <f t="shared" si="8"/>
        <v>46097.5</v>
      </c>
      <c r="J101" s="26">
        <f t="shared" si="9"/>
        <v>46100.5</v>
      </c>
    </row>
    <row r="102" spans="1:10" ht="30">
      <c r="A102" s="31"/>
      <c r="B102" s="17"/>
      <c r="C102" s="18" t="s">
        <v>134</v>
      </c>
      <c r="D102" s="19" t="s">
        <v>75</v>
      </c>
      <c r="E102" s="19" t="s">
        <v>141</v>
      </c>
      <c r="F102" s="19" t="s">
        <v>12</v>
      </c>
      <c r="G102" s="19" t="s">
        <v>164</v>
      </c>
      <c r="H102" s="19">
        <v>20</v>
      </c>
      <c r="I102" s="22">
        <f t="shared" si="8"/>
        <v>46101.5</v>
      </c>
      <c r="J102" s="26">
        <f t="shared" si="9"/>
        <v>46121.5</v>
      </c>
    </row>
    <row r="103" spans="1:10" ht="30">
      <c r="A103" s="31"/>
      <c r="B103" s="17"/>
      <c r="C103" s="18" t="s">
        <v>134</v>
      </c>
      <c r="D103" s="19" t="s">
        <v>75</v>
      </c>
      <c r="E103" s="19" t="s">
        <v>142</v>
      </c>
      <c r="F103" s="19" t="s">
        <v>94</v>
      </c>
      <c r="G103" s="19" t="s">
        <v>164</v>
      </c>
      <c r="H103" s="19">
        <v>2</v>
      </c>
      <c r="I103" s="22">
        <f t="shared" si="8"/>
        <v>46122.5</v>
      </c>
      <c r="J103" s="26">
        <f t="shared" si="9"/>
        <v>46125.5</v>
      </c>
    </row>
    <row r="104" spans="1:10" ht="30">
      <c r="A104" s="31"/>
      <c r="B104" s="17"/>
      <c r="C104" s="20" t="s">
        <v>134</v>
      </c>
      <c r="D104" s="20" t="s">
        <v>95</v>
      </c>
      <c r="E104" s="21" t="s">
        <v>143</v>
      </c>
      <c r="F104" s="21" t="s">
        <v>105</v>
      </c>
      <c r="G104" s="21" t="s">
        <v>164</v>
      </c>
      <c r="H104" s="21">
        <v>1</v>
      </c>
      <c r="I104" s="22">
        <f t="shared" si="8"/>
        <v>46126.5</v>
      </c>
      <c r="J104" s="26">
        <f t="shared" si="9"/>
        <v>46127.5</v>
      </c>
    </row>
    <row r="105" spans="1:10" ht="30">
      <c r="A105" s="31"/>
      <c r="B105" s="17"/>
      <c r="C105" s="18" t="s">
        <v>134</v>
      </c>
      <c r="D105" s="18" t="s">
        <v>96</v>
      </c>
      <c r="E105" s="19" t="s">
        <v>143</v>
      </c>
      <c r="F105" s="19" t="s">
        <v>104</v>
      </c>
      <c r="G105" s="19" t="s">
        <v>164</v>
      </c>
      <c r="H105" s="19">
        <v>1</v>
      </c>
      <c r="I105" s="22">
        <f t="shared" si="8"/>
        <v>46128.5</v>
      </c>
      <c r="J105" s="26">
        <f t="shared" si="9"/>
        <v>46129.5</v>
      </c>
    </row>
    <row r="106" spans="1:10" ht="15">
      <c r="H106" s="3">
        <f>SUM(H2:H105)</f>
        <v>164.5</v>
      </c>
    </row>
    <row r="107" spans="1:10" ht="15">
      <c r="H107" s="3">
        <f>H106*8</f>
        <v>1316</v>
      </c>
    </row>
    <row r="114" spans="3:4" ht="18.75" customHeight="1">
      <c r="D114" s="7"/>
    </row>
    <row r="115" spans="3:4" ht="18.75" customHeight="1">
      <c r="D115" s="7"/>
    </row>
    <row r="116" spans="3:4" ht="18.75" customHeight="1">
      <c r="D116" s="7"/>
    </row>
    <row r="117" spans="3:4" ht="18.75" customHeight="1">
      <c r="D117" s="7"/>
    </row>
    <row r="118" spans="3:4" ht="18.75" customHeight="1">
      <c r="D118" s="7"/>
    </row>
    <row r="119" spans="3:4" ht="18.75" customHeight="1">
      <c r="D119" s="7"/>
    </row>
    <row r="120" spans="3:4" ht="18.75" customHeight="1">
      <c r="D120" s="7"/>
    </row>
    <row r="121" spans="3:4" ht="18.75" customHeight="1">
      <c r="D121" s="7"/>
    </row>
    <row r="122" spans="3:4" ht="18.75" customHeight="1">
      <c r="C122" s="7"/>
      <c r="D122" s="7"/>
    </row>
    <row r="123" spans="3:4" ht="18.75" customHeight="1">
      <c r="C123" s="7"/>
      <c r="D123" s="7"/>
    </row>
    <row r="124" spans="3:4" ht="18.75" customHeight="1">
      <c r="C124" s="7"/>
      <c r="D124" s="7"/>
    </row>
    <row r="125" spans="3:4" ht="18.75" customHeight="1">
      <c r="C125" s="7"/>
      <c r="D125" s="7"/>
    </row>
    <row r="126" spans="3:4" ht="18.75" customHeight="1">
      <c r="C126" s="7"/>
      <c r="D126" s="7"/>
    </row>
    <row r="128" spans="3:4" ht="18.75" customHeight="1">
      <c r="C128" s="14"/>
      <c r="D128" s="14"/>
    </row>
  </sheetData>
  <autoFilter ref="C1:J107" xr:uid="{97B8A42B-53AD-4B1D-9D68-2CD3B85D3983}"/>
  <mergeCells count="6">
    <mergeCell ref="A2:A6"/>
    <mergeCell ref="A7:A50"/>
    <mergeCell ref="A51:A66"/>
    <mergeCell ref="A67:A82"/>
    <mergeCell ref="A83:A94"/>
    <mergeCell ref="A95:A105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Generales</vt:lpstr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Armenta Bautista</dc:creator>
  <cp:lastModifiedBy>Juan Carlos Armenta Bautista</cp:lastModifiedBy>
  <dcterms:created xsi:type="dcterms:W3CDTF">2025-12-08T01:43:31Z</dcterms:created>
  <dcterms:modified xsi:type="dcterms:W3CDTF">2025-12-19T06:34:38Z</dcterms:modified>
</cp:coreProperties>
</file>